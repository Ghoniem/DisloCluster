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40" yWindow="760" windowWidth="24960" windowHeight="16760" tabRatio="600" firstSheet="0" activeTab="8" autoFilterDateGrouping="1"/>
  </bookViews>
  <sheets>
    <sheet name="Material_Environment" sheetId="1" state="visible" r:id="rId1"/>
    <sheet name="Physical_Properties" sheetId="2" state="visible" r:id="rId2"/>
    <sheet name="Model_Parameters" sheetId="3" state="visible" r:id="rId3"/>
    <sheet name="Northwood" sheetId="4" state="visible" r:id="rId4"/>
    <sheet name="Hellio" sheetId="5" state="visible" r:id="rId5"/>
    <sheet name="Jostons" sheetId="6" state="visible" r:id="rId6"/>
    <sheet name="Gilbert" sheetId="7" state="visible" r:id="rId7"/>
    <sheet name="Targets" sheetId="8" state="visible" r:id="rId8"/>
    <sheet name="Params" sheetId="9" state="visible" r:id="rId9"/>
    <sheet name="Ref_Param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onsolas"/>
      <family val="3"/>
      <b val="1"/>
      <color rgb="FF800000"/>
      <sz val="7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1" fontId="0" fillId="3" borderId="0" pivotButton="0" quotePrefix="0" xfId="0"/>
    <xf numFmtId="0" fontId="0" fillId="0" borderId="0" applyAlignment="1" pivotButton="0" quotePrefix="0" xfId="0">
      <alignment wrapText="1"/>
    </xf>
    <xf numFmtId="11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165" fontId="0" fillId="0" borderId="0" pivotButton="0" quotePrefix="0" xfId="0"/>
    <xf numFmtId="165" fontId="0" fillId="0" borderId="0" applyAlignment="1" pivotButton="0" quotePrefix="0" xfId="0">
      <alignment wrapText="1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200" zoomScaleNormal="200" workbookViewId="0">
      <selection activeCell="E13" sqref="E13"/>
    </sheetView>
  </sheetViews>
  <sheetFormatPr baseColWidth="10" defaultColWidth="8.83203125" defaultRowHeight="15"/>
  <cols>
    <col width="10" customWidth="1" min="1" max="1"/>
    <col width="49" customWidth="1" min="2" max="2"/>
    <col width="10" customWidth="1" min="3" max="3"/>
    <col width="19" customWidth="1" min="4" max="4"/>
    <col width="29" customWidth="1" min="5" max="5"/>
  </cols>
  <sheetData>
    <row r="1">
      <c r="A1" s="1" t="inlineStr">
        <is>
          <t>Notation</t>
        </is>
      </c>
      <c r="B1" s="1" t="inlineStr">
        <is>
          <t>Parameter</t>
        </is>
      </c>
      <c r="C1" s="1" t="inlineStr">
        <is>
          <t>Units</t>
        </is>
      </c>
      <c r="D1" s="1" t="inlineStr">
        <is>
          <t>Value</t>
        </is>
      </c>
      <c r="E1" s="1" t="inlineStr">
        <is>
          <t>Description</t>
        </is>
      </c>
    </row>
    <row r="2">
      <c r="A2" t="inlineStr">
        <is>
          <t>rho</t>
        </is>
      </c>
      <c r="B2" t="inlineStr">
        <is>
          <t>dislocation density</t>
        </is>
      </c>
      <c r="C2" t="inlineStr">
        <is>
          <t>m^-2</t>
        </is>
      </c>
      <c r="D2" s="2" t="n">
        <v>100000000000000</v>
      </c>
      <c r="E2" t="inlineStr">
        <is>
          <t>Network dislocation density</t>
        </is>
      </c>
    </row>
    <row r="3">
      <c r="A3" t="inlineStr">
        <is>
          <t>d</t>
        </is>
      </c>
      <c r="B3" t="inlineStr">
        <is>
          <t>grain diameter</t>
        </is>
      </c>
      <c r="C3" t="inlineStr">
        <is>
          <t>m</t>
        </is>
      </c>
      <c r="D3" s="2" t="n">
        <v>1e-05</v>
      </c>
      <c r="E3" t="inlineStr">
        <is>
          <t>Average grain size</t>
        </is>
      </c>
    </row>
    <row r="4">
      <c r="A4" t="inlineStr">
        <is>
          <t>r_p</t>
        </is>
      </c>
      <c r="B4" t="inlineStr">
        <is>
          <t>precipitate radius</t>
        </is>
      </c>
      <c r="C4" t="inlineStr">
        <is>
          <t>m</t>
        </is>
      </c>
      <c r="D4" s="2" t="n">
        <v>5e-08</v>
      </c>
      <c r="E4" t="inlineStr">
        <is>
          <t>Average precipitate radius</t>
        </is>
      </c>
    </row>
    <row r="5">
      <c r="A5" t="inlineStr">
        <is>
          <t>N_P</t>
        </is>
      </c>
      <c r="B5" t="inlineStr">
        <is>
          <t>precipitate number density</t>
        </is>
      </c>
      <c r="C5" t="inlineStr">
        <is>
          <t>m^-3</t>
        </is>
      </c>
      <c r="D5" t="n">
        <v>1e+20</v>
      </c>
      <c r="E5" t="inlineStr">
        <is>
          <t>Precipitate number density</t>
        </is>
      </c>
    </row>
    <row r="6">
      <c r="A6" t="inlineStr">
        <is>
          <t>T</t>
        </is>
      </c>
      <c r="B6" t="inlineStr">
        <is>
          <t>Irradiation temperature</t>
        </is>
      </c>
      <c r="C6" t="inlineStr">
        <is>
          <t>K</t>
        </is>
      </c>
      <c r="D6" t="n">
        <v>573</v>
      </c>
      <c r="E6" t="inlineStr">
        <is>
          <t>Irradiation temperature</t>
        </is>
      </c>
    </row>
    <row r="7">
      <c r="A7" t="inlineStr">
        <is>
          <t>G</t>
        </is>
      </c>
      <c r="B7" t="inlineStr">
        <is>
          <t>Irradiation dose rate</t>
        </is>
      </c>
      <c r="C7" t="inlineStr">
        <is>
          <t>dpa.s^-1</t>
        </is>
      </c>
      <c r="D7" s="2" t="n">
        <v>1e-07</v>
      </c>
      <c r="E7" t="inlineStr">
        <is>
          <t>Damage rate</t>
        </is>
      </c>
    </row>
    <row r="8">
      <c r="A8" t="inlineStr">
        <is>
          <t>N_C</t>
        </is>
      </c>
      <c r="B8" t="inlineStr">
        <is>
          <t>Nucleated void (cavity) density (if needed)</t>
        </is>
      </c>
      <c r="C8" t="inlineStr">
        <is>
          <t>m^-3</t>
        </is>
      </c>
      <c r="D8" s="2" t="n">
        <v>1e+20</v>
      </c>
      <c r="E8" t="inlineStr">
        <is>
          <t>Void nucleation density</t>
        </is>
      </c>
    </row>
    <row r="9">
      <c r="A9" t="inlineStr">
        <is>
          <t>N_iL</t>
        </is>
      </c>
      <c r="B9" t="inlineStr">
        <is>
          <t>Nucleated interstitial loop density (if needed)</t>
        </is>
      </c>
      <c r="C9" t="inlineStr">
        <is>
          <t>m^-3</t>
        </is>
      </c>
      <c r="D9" t="n">
        <v>1e+21</v>
      </c>
      <c r="E9" t="inlineStr">
        <is>
          <t>Loop nucleation density</t>
        </is>
      </c>
    </row>
    <row r="10">
      <c r="A10" t="inlineStr">
        <is>
          <t>sigma_n</t>
        </is>
      </c>
      <c r="B10" t="inlineStr">
        <is>
          <t>normal stress</t>
        </is>
      </c>
      <c r="C10" t="inlineStr">
        <is>
          <t>Pa</t>
        </is>
      </c>
      <c r="D10" s="2" t="n">
        <v>100000000</v>
      </c>
      <c r="E10" t="inlineStr">
        <is>
          <t>uniaxial applied stress</t>
        </is>
      </c>
    </row>
    <row r="11">
      <c r="A11" t="inlineStr">
        <is>
          <t>sigma_h</t>
        </is>
      </c>
      <c r="B11" t="inlineStr">
        <is>
          <t>hydrostatic stress</t>
        </is>
      </c>
      <c r="C11" t="inlineStr">
        <is>
          <t>Pa</t>
        </is>
      </c>
      <c r="D11" s="2" t="n">
        <v>0</v>
      </c>
      <c r="E11" t="inlineStr">
        <is>
          <t>hydostatic stress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topLeftCell="A17" zoomScale="200" zoomScaleNormal="200" workbookViewId="0">
      <selection activeCell="B25" sqref="B25"/>
    </sheetView>
  </sheetViews>
  <sheetFormatPr baseColWidth="10" defaultColWidth="8.83203125" defaultRowHeight="15"/>
  <cols>
    <col width="12" customWidth="1" min="1" max="1"/>
    <col width="50" customWidth="1" min="2" max="2"/>
    <col width="10" customWidth="1" min="3" max="3"/>
    <col width="18" customWidth="1" min="4" max="4"/>
    <col width="37" customWidth="1" min="5" max="5"/>
    <col width="10.83203125" bestFit="1" customWidth="1" min="6" max="6"/>
  </cols>
  <sheetData>
    <row r="1">
      <c r="A1" s="1" t="inlineStr">
        <is>
          <t>Notation</t>
        </is>
      </c>
      <c r="B1" s="1" t="inlineStr">
        <is>
          <t>Property</t>
        </is>
      </c>
      <c r="C1" s="1" t="inlineStr">
        <is>
          <t>Units</t>
        </is>
      </c>
      <c r="D1" s="1" t="inlineStr">
        <is>
          <t>Value</t>
        </is>
      </c>
      <c r="E1" s="1" t="inlineStr">
        <is>
          <t>Description</t>
        </is>
      </c>
    </row>
    <row r="2">
      <c r="A2" t="inlineStr">
        <is>
          <t>a</t>
        </is>
      </c>
      <c r="B2" t="inlineStr">
        <is>
          <t>lattice parameter</t>
        </is>
      </c>
      <c r="C2" t="inlineStr">
        <is>
          <t>m</t>
        </is>
      </c>
      <c r="D2" t="n">
        <v>3.23e-10</v>
      </c>
      <c r="E2" t="inlineStr">
        <is>
          <t>Crystal lattice parameter</t>
        </is>
      </c>
    </row>
    <row r="3">
      <c r="A3" t="inlineStr">
        <is>
          <t>b_a</t>
        </is>
      </c>
      <c r="B3" t="inlineStr">
        <is>
          <t>magnitude of Burgers vector along a-direction</t>
        </is>
      </c>
      <c r="C3" t="inlineStr">
        <is>
          <t>m</t>
        </is>
      </c>
      <c r="D3" t="n">
        <v>3.23e-10</v>
      </c>
      <c r="E3" t="inlineStr">
        <is>
          <t>Burgers vector a-direction</t>
        </is>
      </c>
    </row>
    <row r="4">
      <c r="A4" t="inlineStr">
        <is>
          <t>b_c</t>
        </is>
      </c>
      <c r="B4" t="inlineStr">
        <is>
          <t>magnitude of Burgers vector along c-direction</t>
        </is>
      </c>
      <c r="C4" t="inlineStr">
        <is>
          <t>m</t>
        </is>
      </c>
      <c r="D4" t="n">
        <v>3.23e-10</v>
      </c>
      <c r="E4" t="inlineStr">
        <is>
          <t>Burgers vector c-direction</t>
        </is>
      </c>
    </row>
    <row r="5">
      <c r="A5" t="inlineStr">
        <is>
          <t>Omega</t>
        </is>
      </c>
      <c r="B5" t="inlineStr">
        <is>
          <t>atomic volume</t>
        </is>
      </c>
      <c r="C5" t="inlineStr">
        <is>
          <t>m^3</t>
        </is>
      </c>
      <c r="D5" s="2" t="n">
        <v>1.2e-29</v>
      </c>
      <c r="E5" t="inlineStr">
        <is>
          <t>Atomic volume</t>
        </is>
      </c>
    </row>
    <row r="6">
      <c r="A6" t="inlineStr">
        <is>
          <t>z_c</t>
        </is>
      </c>
      <c r="B6" t="inlineStr">
        <is>
          <t>Number of unstable sites around a vacancy</t>
        </is>
      </c>
      <c r="C6" t="inlineStr">
        <is>
          <t>–</t>
        </is>
      </c>
      <c r="D6" t="n">
        <v>48</v>
      </c>
      <c r="E6" t="inlineStr">
        <is>
          <t>Coordination number</t>
        </is>
      </c>
    </row>
    <row r="7">
      <c r="A7" t="inlineStr">
        <is>
          <t>recom</t>
        </is>
      </c>
      <c r="B7" t="inlineStr">
        <is>
          <t>recombination radius factor</t>
        </is>
      </c>
      <c r="D7" s="2" t="n">
        <v>0.414486</v>
      </c>
    </row>
    <row r="8" customFormat="1" s="7"/>
    <row r="9">
      <c r="A9" t="inlineStr">
        <is>
          <t>E_m_i</t>
        </is>
      </c>
      <c r="B9" t="inlineStr">
        <is>
          <t>migration energy of single interstitials</t>
        </is>
      </c>
      <c r="C9" t="inlineStr">
        <is>
          <t>eV</t>
        </is>
      </c>
      <c r="D9" t="n">
        <v>0.95</v>
      </c>
      <c r="E9" t="inlineStr">
        <is>
          <t>Interstitial migration barrier</t>
        </is>
      </c>
    </row>
    <row r="10">
      <c r="A10" t="inlineStr">
        <is>
          <t>E_m_2i</t>
        </is>
      </c>
      <c r="B10" t="inlineStr">
        <is>
          <t>migration energy of di/tri  interstitials</t>
        </is>
      </c>
      <c r="C10" t="inlineStr">
        <is>
          <t>eV</t>
        </is>
      </c>
      <c r="D10" t="n">
        <v>0.8</v>
      </c>
      <c r="E10" t="inlineStr">
        <is>
          <t>di/tri Interstitial migration barrier</t>
        </is>
      </c>
    </row>
    <row r="11">
      <c r="A11" t="inlineStr">
        <is>
          <t>E_m_v</t>
        </is>
      </c>
      <c r="B11" t="inlineStr">
        <is>
          <t>migration energy of single vacancy</t>
        </is>
      </c>
      <c r="C11" t="inlineStr">
        <is>
          <t>eV</t>
        </is>
      </c>
      <c r="D11" t="n">
        <v>1.2</v>
      </c>
      <c r="E11" t="inlineStr">
        <is>
          <t>Vacancy migration barrier</t>
        </is>
      </c>
    </row>
    <row r="12">
      <c r="A12" t="inlineStr">
        <is>
          <t>E_F_v</t>
        </is>
      </c>
      <c r="B12" t="inlineStr">
        <is>
          <t>formation energy of a vacancy</t>
        </is>
      </c>
      <c r="C12" t="inlineStr">
        <is>
          <t>eV</t>
        </is>
      </c>
      <c r="D12" t="n">
        <v>1.6</v>
      </c>
      <c r="E12" t="inlineStr">
        <is>
          <t>Vacancy formation energy</t>
        </is>
      </c>
    </row>
    <row r="13">
      <c r="A13" t="inlineStr">
        <is>
          <t>E_F_i</t>
        </is>
      </c>
      <c r="B13" t="inlineStr">
        <is>
          <t>formation energy of an interstitial</t>
        </is>
      </c>
      <c r="C13" t="inlineStr">
        <is>
          <t>eV</t>
        </is>
      </c>
      <c r="D13" t="n">
        <v>3</v>
      </c>
      <c r="E13" t="inlineStr">
        <is>
          <t>Interstitial formation energy</t>
        </is>
      </c>
    </row>
    <row r="14">
      <c r="A14" t="inlineStr">
        <is>
          <t>E_b_2i</t>
        </is>
      </c>
      <c r="B14" t="inlineStr">
        <is>
          <t>binding energy of a diinterstitial</t>
        </is>
      </c>
      <c r="C14" t="inlineStr">
        <is>
          <t>eV</t>
        </is>
      </c>
      <c r="D14" t="n">
        <v>1.42</v>
      </c>
      <c r="E14" t="inlineStr">
        <is>
          <t>binding energy of a diinterstitial</t>
        </is>
      </c>
    </row>
    <row r="15">
      <c r="A15" t="inlineStr">
        <is>
          <t>E_b_3i</t>
        </is>
      </c>
      <c r="B15" t="inlineStr">
        <is>
          <t>binding energy of a triinterstitial</t>
        </is>
      </c>
      <c r="C15" t="inlineStr">
        <is>
          <t>eV</t>
        </is>
      </c>
      <c r="D15" t="n">
        <v>3.2</v>
      </c>
      <c r="E15" t="inlineStr">
        <is>
          <t>binding energy of a diinterstitial</t>
        </is>
      </c>
    </row>
    <row r="16" customFormat="1" s="7"/>
    <row r="17">
      <c r="A17" t="inlineStr">
        <is>
          <t>gamma</t>
        </is>
      </c>
      <c r="B17" t="inlineStr">
        <is>
          <t>surface energy</t>
        </is>
      </c>
      <c r="C17" t="inlineStr">
        <is>
          <t>eV.m^-2</t>
        </is>
      </c>
      <c r="D17" s="2" t="n">
        <v>1.5e+19</v>
      </c>
      <c r="E17" t="inlineStr">
        <is>
          <t>Surface energy</t>
        </is>
      </c>
    </row>
    <row r="18">
      <c r="A18" t="inlineStr">
        <is>
          <t>gamma_sf</t>
        </is>
      </c>
      <c r="B18" t="inlineStr">
        <is>
          <t>stacking fault energy</t>
        </is>
      </c>
      <c r="C18" t="inlineStr">
        <is>
          <t>eV.m^-2</t>
        </is>
      </c>
      <c r="D18" s="2" t="n">
        <v>8e+17</v>
      </c>
      <c r="E18" t="inlineStr">
        <is>
          <t>Stacking fault energy</t>
        </is>
      </c>
    </row>
    <row r="19" customFormat="1" s="7">
      <c r="D19" s="8" t="n"/>
    </row>
    <row r="20">
      <c r="A20" t="inlineStr">
        <is>
          <t>nu_i</t>
        </is>
      </c>
      <c r="B20" t="inlineStr">
        <is>
          <t>interstitial vibration frequency</t>
        </is>
      </c>
      <c r="C20" t="inlineStr">
        <is>
          <t>s^-1</t>
        </is>
      </c>
      <c r="D20" s="2" t="n">
        <v>5000000000000</v>
      </c>
      <c r="E20" t="inlineStr">
        <is>
          <t>Interstitial attempt frequency</t>
        </is>
      </c>
    </row>
    <row r="21">
      <c r="A21" t="inlineStr">
        <is>
          <t>nu_v</t>
        </is>
      </c>
      <c r="B21" t="inlineStr">
        <is>
          <t>vacancy vibration frequency</t>
        </is>
      </c>
      <c r="C21" t="inlineStr">
        <is>
          <t>s^-1</t>
        </is>
      </c>
      <c r="D21" s="2" t="n">
        <v>5000000000000</v>
      </c>
      <c r="E21" t="inlineStr">
        <is>
          <t>Vacancy attempt frequency</t>
        </is>
      </c>
    </row>
    <row r="22" customFormat="1" s="7"/>
    <row r="23">
      <c r="A23" t="inlineStr">
        <is>
          <t>epsilon_vL</t>
        </is>
      </c>
      <c r="B23" t="inlineStr">
        <is>
          <t>Collision cascade efficiency to generate a vacancy loop</t>
        </is>
      </c>
      <c r="C23" t="inlineStr">
        <is>
          <t>–</t>
        </is>
      </c>
      <c r="D23" s="2" t="n">
        <v>0.0001</v>
      </c>
      <c r="E23" t="inlineStr">
        <is>
          <t>Vacancy loop cascade efficiency</t>
        </is>
      </c>
    </row>
    <row r="24">
      <c r="A24" t="inlineStr">
        <is>
          <t>epsilon_2i</t>
        </is>
      </c>
      <c r="B24" t="inlineStr">
        <is>
          <t>Collision cascade efficiency to generate a di-interstial</t>
        </is>
      </c>
      <c r="C24" t="inlineStr">
        <is>
          <t>–</t>
        </is>
      </c>
      <c r="D24" s="2" t="n">
        <v>0.0005999999999999999</v>
      </c>
      <c r="E24" t="inlineStr">
        <is>
          <t>Di-interstitial cascade efficiency</t>
        </is>
      </c>
    </row>
    <row r="25">
      <c r="A25" t="inlineStr">
        <is>
          <t>epsilon_3i</t>
        </is>
      </c>
      <c r="B25" t="inlineStr">
        <is>
          <t>Collision cascade efficiency to generate a tri-interstitial</t>
        </is>
      </c>
      <c r="C25" t="inlineStr">
        <is>
          <t>–</t>
        </is>
      </c>
      <c r="D25" s="2" t="n">
        <v>0.0005999999999999999</v>
      </c>
      <c r="E25" t="inlineStr">
        <is>
          <t>Tri-interstitial cascade efficiency</t>
        </is>
      </c>
    </row>
    <row r="26" customFormat="1" s="7"/>
    <row r="27">
      <c r="A27" t="inlineStr">
        <is>
          <t>M</t>
        </is>
      </c>
      <c r="B27" t="inlineStr">
        <is>
          <t>Average Schmidt factor for tensile loading</t>
        </is>
      </c>
      <c r="C27" t="inlineStr">
        <is>
          <t>–</t>
        </is>
      </c>
      <c r="D27" t="n">
        <v>2</v>
      </c>
      <c r="E27" t="inlineStr">
        <is>
          <t>Schmidt factor</t>
        </is>
      </c>
    </row>
    <row r="28">
      <c r="A28" t="inlineStr">
        <is>
          <t>mu</t>
        </is>
      </c>
      <c r="B28" t="inlineStr">
        <is>
          <t>shear modulus</t>
        </is>
      </c>
      <c r="C28" t="inlineStr">
        <is>
          <t>Pa</t>
        </is>
      </c>
      <c r="D28" s="2" t="n">
        <v>30000000000</v>
      </c>
      <c r="E28" t="inlineStr">
        <is>
          <t>shear modulus</t>
        </is>
      </c>
      <c r="F28" s="2" t="n"/>
    </row>
    <row r="29">
      <c r="A29" t="inlineStr">
        <is>
          <t>nu_poisson</t>
        </is>
      </c>
      <c r="B29" t="inlineStr">
        <is>
          <t>Poisson ratio</t>
        </is>
      </c>
      <c r="C29" t="inlineStr">
        <is>
          <t>–</t>
        </is>
      </c>
      <c r="D29" s="2" t="n">
        <v>0.34</v>
      </c>
      <c r="E29" t="inlineStr">
        <is>
          <t>Poisson ratio</t>
        </is>
      </c>
      <c r="F29" s="2" t="n"/>
    </row>
    <row r="32">
      <c r="A32" t="inlineStr">
        <is>
          <t>D_i_0</t>
        </is>
      </c>
      <c r="B32" t="inlineStr">
        <is>
          <t>interstitial diffusion pre-factor</t>
        </is>
      </c>
      <c r="C32" t="inlineStr">
        <is>
          <t>m^2/s</t>
        </is>
      </c>
      <c r="D32" s="2" t="n">
        <v>8.1882e-10</v>
      </c>
    </row>
    <row r="33">
      <c r="A33" t="inlineStr">
        <is>
          <t>D_v_0</t>
        </is>
      </c>
      <c r="B33" t="inlineStr">
        <is>
          <t>vacancy diffusion prefactor</t>
        </is>
      </c>
      <c r="C33" t="inlineStr">
        <is>
          <t>m^2/s</t>
        </is>
      </c>
      <c r="D33" s="2" t="n">
        <v>4.9639e-13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topLeftCell="A11" zoomScale="200" zoomScaleNormal="200" workbookViewId="0">
      <selection activeCell="D29" sqref="D29"/>
    </sheetView>
  </sheetViews>
  <sheetFormatPr baseColWidth="10" defaultColWidth="8.83203125" defaultRowHeight="15"/>
  <cols>
    <col width="11" customWidth="1" min="1" max="1"/>
    <col width="50" customWidth="1" min="2" max="2"/>
    <col width="7" customWidth="1" min="3" max="3"/>
    <col width="11.33203125" customWidth="1" style="4" min="4" max="4"/>
    <col width="50" customWidth="1" min="5" max="5"/>
  </cols>
  <sheetData>
    <row r="1">
      <c r="A1" s="1" t="inlineStr">
        <is>
          <t>Notation</t>
        </is>
      </c>
      <c r="B1" s="1" t="inlineStr">
        <is>
          <t>Parameter</t>
        </is>
      </c>
      <c r="C1" s="1" t="inlineStr">
        <is>
          <t>Units</t>
        </is>
      </c>
      <c r="D1" s="3" t="inlineStr">
        <is>
          <t>Value</t>
        </is>
      </c>
      <c r="E1" s="1" t="inlineStr">
        <is>
          <t>Description</t>
        </is>
      </c>
    </row>
    <row r="2">
      <c r="A2" t="inlineStr">
        <is>
          <t>Z_N</t>
        </is>
      </c>
      <c r="B2" t="inlineStr">
        <is>
          <t>Network dislocation bias factor for interstitials</t>
        </is>
      </c>
      <c r="C2" t="inlineStr">
        <is>
          <t>–</t>
        </is>
      </c>
      <c r="D2" s="4" t="n">
        <v>1.1</v>
      </c>
      <c r="E2" t="inlineStr">
        <is>
          <t>Dislocation bias for interstitial absorption</t>
        </is>
      </c>
    </row>
    <row r="3">
      <c r="A3" t="inlineStr">
        <is>
          <t>Z_iL</t>
        </is>
      </c>
      <c r="B3" t="inlineStr">
        <is>
          <t>Interstitial dislocation loop bias factor for interstitials</t>
        </is>
      </c>
      <c r="C3" t="inlineStr">
        <is>
          <t>–</t>
        </is>
      </c>
      <c r="D3" s="4" t="n">
        <v>1.3</v>
      </c>
      <c r="E3" t="inlineStr">
        <is>
          <t>Interstitial loop bias for interstitial absorption</t>
        </is>
      </c>
    </row>
    <row r="4">
      <c r="A4" t="inlineStr">
        <is>
          <t>Z_vL</t>
        </is>
      </c>
      <c r="B4" t="inlineStr">
        <is>
          <t>Vacancy loop bias factor for interstitials</t>
        </is>
      </c>
      <c r="C4" t="inlineStr">
        <is>
          <t>–</t>
        </is>
      </c>
      <c r="D4" s="4" t="n">
        <v>1</v>
      </c>
      <c r="E4" t="inlineStr">
        <is>
          <t>Vacancy loop bias for interstitial absorption</t>
        </is>
      </c>
    </row>
    <row r="5">
      <c r="A5" t="inlineStr">
        <is>
          <t>Q</t>
        </is>
      </c>
      <c r="B5" t="inlineStr">
        <is>
          <t>Absorption efficiency for &lt;c&gt; loops</t>
        </is>
      </c>
      <c r="C5" t="inlineStr">
        <is>
          <t>–</t>
        </is>
      </c>
      <c r="D5" s="4" t="n">
        <v>1</v>
      </c>
      <c r="E5" t="inlineStr">
        <is>
          <t>Loop growth efficiency factor</t>
        </is>
      </c>
    </row>
    <row r="6">
      <c r="A6" t="inlineStr">
        <is>
          <t>A_a</t>
        </is>
      </c>
      <c r="B6" t="inlineStr">
        <is>
          <t>Strain factor in &lt;a&gt; direction</t>
        </is>
      </c>
      <c r="C6" t="inlineStr">
        <is>
          <t>–</t>
        </is>
      </c>
      <c r="D6" s="4" t="n">
        <v>0.05893671278540128</v>
      </c>
      <c r="E6" t="inlineStr">
        <is>
          <t>Strain tensor component a-direction</t>
        </is>
      </c>
    </row>
    <row r="7">
      <c r="A7" t="inlineStr">
        <is>
          <t>A_c</t>
        </is>
      </c>
      <c r="B7" t="inlineStr">
        <is>
          <t>Strain factor in &lt;c&gt; direction</t>
        </is>
      </c>
      <c r="C7" t="inlineStr">
        <is>
          <t>–</t>
        </is>
      </c>
      <c r="D7" s="4" t="n">
        <v>1.322598264847123</v>
      </c>
      <c r="E7" t="inlineStr">
        <is>
          <t>Strain tensor component c-direction</t>
        </is>
      </c>
    </row>
    <row r="8" customFormat="1" s="5">
      <c r="D8" s="6" t="n"/>
    </row>
    <row r="9">
      <c r="A9" t="inlineStr">
        <is>
          <t>alpha_i</t>
        </is>
      </c>
      <c r="B9" t="inlineStr">
        <is>
          <t>Strength coefficient for a small interstitial cluster</t>
        </is>
      </c>
      <c r="C9" t="inlineStr">
        <is>
          <t>–</t>
        </is>
      </c>
      <c r="D9" s="4" t="n">
        <v>0.15</v>
      </c>
      <c r="E9" t="inlineStr">
        <is>
          <t>Interstitial obstacle strength</t>
        </is>
      </c>
    </row>
    <row r="10">
      <c r="A10" t="inlineStr">
        <is>
          <t>alpha_v</t>
        </is>
      </c>
      <c r="B10" t="inlineStr">
        <is>
          <t>Strength coefficient for a small vacancy cluster</t>
        </is>
      </c>
      <c r="C10" t="inlineStr">
        <is>
          <t>–</t>
        </is>
      </c>
      <c r="D10" s="4" t="n">
        <v>0.1</v>
      </c>
      <c r="E10" t="inlineStr">
        <is>
          <t>Vacancy obstacle strength</t>
        </is>
      </c>
    </row>
    <row r="11">
      <c r="A11" t="inlineStr">
        <is>
          <t>alpha_iL</t>
        </is>
      </c>
      <c r="B11" t="inlineStr">
        <is>
          <t>Average strength coefficient for an interstitial loop</t>
        </is>
      </c>
      <c r="C11" t="inlineStr">
        <is>
          <t>–</t>
        </is>
      </c>
      <c r="D11" s="4" t="n">
        <v>0.25</v>
      </c>
      <c r="E11" t="inlineStr">
        <is>
          <t>Interstitial loop obstacle strength</t>
        </is>
      </c>
    </row>
    <row r="12">
      <c r="A12" t="inlineStr">
        <is>
          <t>alpha_aiL</t>
        </is>
      </c>
      <c r="B12" t="inlineStr">
        <is>
          <t>Average strength coefficient for an aligned interstitial loop</t>
        </is>
      </c>
      <c r="C12" t="inlineStr">
        <is>
          <t>–</t>
        </is>
      </c>
      <c r="D12" s="4" t="n">
        <v>0.3</v>
      </c>
      <c r="E12" t="inlineStr">
        <is>
          <t>Aligned interstitial loop obstacle strength</t>
        </is>
      </c>
    </row>
    <row r="13">
      <c r="A13" t="inlineStr">
        <is>
          <t>alpha_vL</t>
        </is>
      </c>
      <c r="B13" t="inlineStr">
        <is>
          <t>Average strength coefficient for a vacancy loop</t>
        </is>
      </c>
      <c r="C13" t="inlineStr">
        <is>
          <t>–</t>
        </is>
      </c>
      <c r="D13" s="4" t="n">
        <v>0.2</v>
      </c>
      <c r="E13" t="inlineStr">
        <is>
          <t>Vacancy loop obstacle strength</t>
        </is>
      </c>
    </row>
    <row r="14">
      <c r="A14" t="inlineStr">
        <is>
          <t>alpha_avL</t>
        </is>
      </c>
      <c r="B14" t="inlineStr">
        <is>
          <t>Average strength coefficient for an aligned vacancy loop</t>
        </is>
      </c>
      <c r="C14" t="inlineStr">
        <is>
          <t>–</t>
        </is>
      </c>
      <c r="D14" s="4" t="n">
        <v>0.25</v>
      </c>
      <c r="E14" t="inlineStr">
        <is>
          <t>Aligned vacancy loop obstacle strength</t>
        </is>
      </c>
    </row>
    <row r="15">
      <c r="A15" t="inlineStr">
        <is>
          <t>alpha_N</t>
        </is>
      </c>
      <c r="B15" t="inlineStr">
        <is>
          <t>Average strength coefficient for network dislocations</t>
        </is>
      </c>
      <c r="C15" t="inlineStr">
        <is>
          <t>–</t>
        </is>
      </c>
      <c r="D15" s="4" t="n">
        <v>0.3</v>
      </c>
      <c r="E15" t="inlineStr">
        <is>
          <t>Network dislocation obstacle strength</t>
        </is>
      </c>
    </row>
    <row r="16" customFormat="1" s="5">
      <c r="D16" s="6" t="n"/>
    </row>
    <row r="17">
      <c r="A17" t="inlineStr">
        <is>
          <t>m</t>
        </is>
      </c>
      <c r="B17" t="inlineStr">
        <is>
          <t>Increment in mobile dislocation line length per forest dislocation</t>
        </is>
      </c>
      <c r="C17" t="inlineStr">
        <is>
          <t>–</t>
        </is>
      </c>
      <c r="D17" s="4" t="n">
        <v>100</v>
      </c>
      <c r="E17" t="inlineStr">
        <is>
          <t>Dislocation multiplication factor</t>
        </is>
      </c>
    </row>
    <row r="18">
      <c r="A18" t="inlineStr">
        <is>
          <t>s</t>
        </is>
      </c>
      <c r="B18" t="inlineStr">
        <is>
          <t>conversion rate of mobile to forest dislocations</t>
        </is>
      </c>
      <c r="C18" t="inlineStr">
        <is>
          <t>–</t>
        </is>
      </c>
      <c r="D18" s="4" t="n">
        <v>0.001</v>
      </c>
      <c r="E18" t="inlineStr">
        <is>
          <t>Dislocation immobilization rate</t>
        </is>
      </c>
    </row>
    <row r="19">
      <c r="A19" t="inlineStr">
        <is>
          <t>r_m</t>
        </is>
      </c>
      <c r="B19" t="inlineStr">
        <is>
          <t>recovery rate of mobile dislocations by cross-slip</t>
        </is>
      </c>
      <c r="C19" t="inlineStr">
        <is>
          <t>–</t>
        </is>
      </c>
      <c r="D19" s="4" t="n">
        <v>1e-06</v>
      </c>
      <c r="E19" t="inlineStr">
        <is>
          <t>Mobile dislocation recovery rate</t>
        </is>
      </c>
    </row>
    <row r="20">
      <c r="A20" t="inlineStr">
        <is>
          <t>r_f</t>
        </is>
      </c>
      <c r="B20" t="inlineStr">
        <is>
          <t>recovery rate of forest dislocations by cross-slip</t>
        </is>
      </c>
      <c r="C20" t="inlineStr">
        <is>
          <t>–</t>
        </is>
      </c>
      <c r="D20" s="4" t="n">
        <v>1e-07</v>
      </c>
      <c r="E20" t="inlineStr">
        <is>
          <t>Forest dislocation recovery rate</t>
        </is>
      </c>
    </row>
    <row r="21">
      <c r="A21" t="inlineStr">
        <is>
          <t>tau_vL0</t>
        </is>
      </c>
      <c r="B21" t="inlineStr">
        <is>
          <t>Vacancy-loop annealing lifetime Arrhenius prefactor</t>
        </is>
      </c>
      <c r="C21" t="inlineStr">
        <is>
          <t>s</t>
        </is>
      </c>
      <c r="D21" t="n">
        <v>0.000288327</v>
      </c>
      <c r="E21" t="inlineStr">
        <is>
          <t>tau_vL = tau_vL0*exp(E_a_vL/kT)</t>
        </is>
      </c>
    </row>
    <row r="22">
      <c r="A22" t="inlineStr">
        <is>
          <t>E_a_vL</t>
        </is>
      </c>
      <c r="B22" t="inlineStr">
        <is>
          <t>Vacancy-loop annealing lifetime activation energy</t>
        </is>
      </c>
      <c r="C22" t="inlineStr">
        <is>
          <t>eV</t>
        </is>
      </c>
      <c r="D22" t="n">
        <v>1.19359</v>
      </c>
      <c r="E22" t="inlineStr">
        <is>
          <t>Arrhenius activation energy for tau_vL</t>
        </is>
      </c>
    </row>
    <row r="23"/>
    <row r="24">
      <c r="A24" t="inlineStr">
        <is>
          <t>c_LL</t>
        </is>
      </c>
      <c r="B24" t="inlineStr">
        <is>
          <t>Like-loop coalescence rate-scale coefficient</t>
        </is>
      </c>
      <c r="C24" t="inlineStr">
        <is>
          <t>–</t>
        </is>
      </c>
      <c r="D24" t="n">
        <v>20</v>
      </c>
      <c r="E24" t="inlineStr">
        <is>
          <t>Geometric loop coalescence; tune to saturation density</t>
        </is>
      </c>
    </row>
    <row r="25">
      <c r="A25" t="inlineStr">
        <is>
          <t>kappa_LL</t>
        </is>
      </c>
      <c r="B25" t="inlineStr">
        <is>
          <t>Loop-loop capture-zone factor</t>
        </is>
      </c>
      <c r="C25" t="inlineStr">
        <is>
          <t>–</t>
        </is>
      </c>
      <c r="D25" s="2" t="n">
        <v>1</v>
      </c>
      <c r="E25" t="inlineStr">
        <is>
          <t>Avrami overlap factor for like-loop merging</t>
        </is>
      </c>
    </row>
    <row r="26">
      <c r="A26" t="inlineStr">
        <is>
          <t>c_LN</t>
        </is>
      </c>
      <c r="B26" t="inlineStr">
        <is>
          <t>Loop-network coalescence rate-scale coefficient</t>
        </is>
      </c>
      <c r="C26" t="inlineStr">
        <is>
          <t>–</t>
        </is>
      </c>
      <c r="D26" t="n">
        <v>20</v>
      </c>
      <c r="E26" t="inlineStr">
        <is>
          <t>Loop absorbed by network; tune to saturation density</t>
        </is>
      </c>
    </row>
    <row r="27">
      <c r="A27" t="inlineStr">
        <is>
          <t>kappa_LN</t>
        </is>
      </c>
      <c r="B27" t="inlineStr">
        <is>
          <t>Loop-network capture factor</t>
        </is>
      </c>
      <c r="C27" t="inlineStr">
        <is>
          <t>–</t>
        </is>
      </c>
      <c r="D27" s="2" t="n">
        <v>1</v>
      </c>
      <c r="E27" t="inlineStr">
        <is>
          <t>Avrami overlap factor for loop-network capture</t>
        </is>
      </c>
    </row>
    <row r="28">
      <c r="A28" t="inlineStr">
        <is>
          <t>n_vL_nuc</t>
        </is>
      </c>
      <c r="B28" t="inlineStr">
        <is>
          <t>vacancies per nucleated cascade vacancy loop</t>
        </is>
      </c>
      <c r="C28" t="inlineStr">
        <is>
          <t>-</t>
        </is>
      </c>
      <c r="D28" t="n">
        <v>349.535</v>
      </c>
      <c r="E28" t="inlineStr">
        <is>
          <t>vacancies per nucleated cascade vacancy loop</t>
        </is>
      </c>
    </row>
    <row r="29">
      <c r="A29" t="inlineStr">
        <is>
          <t>delta_DAD</t>
        </is>
      </c>
      <c r="B29" t="inlineStr">
        <is>
          <t>diffusional anisotropy difference (DAD) loop bias</t>
        </is>
      </c>
      <c r="C29" t="inlineStr">
        <is>
          <t>-</t>
        </is>
      </c>
      <c r="D29" t="n">
        <v>0.1</v>
      </c>
      <c r="E29" t="inlineStr">
        <is>
          <t>diffusional anisotropy difference (DAD) loop bias</t>
        </is>
      </c>
    </row>
    <row r="30">
      <c r="A30" t="inlineStr">
        <is>
          <t>c_LL_a</t>
        </is>
      </c>
      <c r="B30" t="inlineStr">
        <is>
          <t>a-loop (interstitial) like-loop coalescence rate-scale</t>
        </is>
      </c>
      <c r="C30" t="inlineStr">
        <is>
          <t>-</t>
        </is>
      </c>
      <c r="D30" t="n">
        <v>20</v>
      </c>
      <c r="E30" t="inlineStr">
        <is>
          <t>a-loop (interstitial) like-loop coalescence rate-scale</t>
        </is>
      </c>
    </row>
    <row r="31">
      <c r="A31" t="inlineStr">
        <is>
          <t>c_LN_a</t>
        </is>
      </c>
      <c r="B31" t="inlineStr">
        <is>
          <t>a-loop (interstitial) loop-network coalescence rate-scale</t>
        </is>
      </c>
      <c r="C31" t="inlineStr">
        <is>
          <t>-</t>
        </is>
      </c>
      <c r="D31" t="n">
        <v>20</v>
      </c>
      <c r="E31" t="inlineStr">
        <is>
          <t>a-loop (interstitial) loop-network coalescence rate-scale</t>
        </is>
      </c>
    </row>
    <row r="32">
      <c r="A32" t="inlineStr">
        <is>
          <t>c_LL_c</t>
        </is>
      </c>
      <c r="B32" t="inlineStr">
        <is>
          <t>c-loop (vacancy) like-loop coalescence rate-scale</t>
        </is>
      </c>
      <c r="C32" t="inlineStr">
        <is>
          <t>-</t>
        </is>
      </c>
      <c r="D32" t="n">
        <v>10</v>
      </c>
      <c r="E32" t="inlineStr">
        <is>
          <t>c-loop (vacancy) like-loop coalescence rate-scale</t>
        </is>
      </c>
    </row>
    <row r="33">
      <c r="A33" t="inlineStr">
        <is>
          <t>c_LN_c</t>
        </is>
      </c>
      <c r="B33" t="inlineStr">
        <is>
          <t>c-loop (vacancy) loop-network coalescence rate-scale</t>
        </is>
      </c>
      <c r="C33" t="inlineStr">
        <is>
          <t>-</t>
        </is>
      </c>
      <c r="D33" t="n">
        <v>10</v>
      </c>
      <c r="E33" t="inlineStr">
        <is>
          <t>c-loop (vacancy) loop-network coalescence rate-scale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X40"/>
  <sheetViews>
    <sheetView zoomScale="200" zoomScaleNormal="200" workbookViewId="0">
      <selection activeCell="E21" sqref="E21"/>
    </sheetView>
  </sheetViews>
  <sheetFormatPr baseColWidth="10" defaultColWidth="8.83203125" defaultRowHeight="15"/>
  <cols>
    <col width="12.83203125" customWidth="1" style="9" min="1" max="1"/>
    <col width="10.6640625" customWidth="1" style="9" min="2" max="2"/>
    <col width="11.33203125" bestFit="1" customWidth="1" style="9" min="3" max="3"/>
    <col width="12.33203125" customWidth="1" style="9" min="4" max="4"/>
    <col width="8.6640625" customWidth="1" style="9" min="5" max="5"/>
    <col width="29.33203125" customWidth="1" style="9" min="6" max="6"/>
    <col width="11.33203125" bestFit="1" customWidth="1" style="9" min="7" max="7"/>
    <col width="8.6640625" customWidth="1" style="9" min="8" max="8"/>
    <col width="11.33203125" customWidth="1" min="18" max="18"/>
  </cols>
  <sheetData>
    <row r="3" ht="43.5" customHeight="1">
      <c r="A3" s="9" t="inlineStr">
        <is>
          <t>Temperature ($^\circ$C)</t>
        </is>
      </c>
      <c r="B3" s="9" t="inlineStr">
        <is>
          <t>Fluence (m$^{-2}$)</t>
        </is>
      </c>
      <c r="C3" s="9" t="inlineStr">
        <is>
          <t>Dose (dpa)</t>
        </is>
      </c>
      <c r="D3" s="9" t="inlineStr">
        <is>
          <t>Loop density ($^{-3}$)</t>
        </is>
      </c>
      <c r="E3" s="9" t="inlineStr">
        <is>
          <t>Loop Size (nm)</t>
        </is>
      </c>
      <c r="F3" s="9" t="inlineStr">
        <is>
          <t>Reference</t>
        </is>
      </c>
    </row>
    <row r="4" ht="16" customHeight="1">
      <c r="A4" s="9" t="inlineStr">
        <is>
          <t>Neutrons</t>
        </is>
      </c>
    </row>
    <row r="5" ht="16" customHeight="1">
      <c r="A5" s="9" t="n">
        <v>300</v>
      </c>
      <c r="B5" s="10" t="n">
        <v>3.8e+23</v>
      </c>
      <c r="D5" s="10" t="n">
        <v>1.2e+22</v>
      </c>
      <c r="E5" s="9" t="n">
        <v>9</v>
      </c>
      <c r="F5" s="9" t="inlineStr">
        <is>
          <t>Jostons JNM 66(3)(1977)236</t>
        </is>
      </c>
    </row>
    <row r="6">
      <c r="A6" s="9" t="n">
        <v>300</v>
      </c>
      <c r="B6" s="10" t="n">
        <v>5e+23</v>
      </c>
      <c r="C6" s="10">
        <f>B6/$K$9</f>
        <v/>
      </c>
      <c r="D6" s="10" t="n">
        <v>1e+22</v>
      </c>
      <c r="E6" s="9" t="n">
        <v>4.5</v>
      </c>
      <c r="F6" t="inlineStr">
        <is>
          <t>Northwood, D. O. Atomic Energy</t>
        </is>
      </c>
    </row>
    <row r="7">
      <c r="B7" s="10" t="n">
        <v>7.999999999999999e+23</v>
      </c>
      <c r="C7" s="10">
        <f>B7/$K$9</f>
        <v/>
      </c>
      <c r="D7" s="10" t="n">
        <v>2.5e+22</v>
      </c>
      <c r="E7" s="9" t="n">
        <v>5.8</v>
      </c>
      <c r="F7" t="inlineStr">
        <is>
          <t>Rev. 1977, 15, 547–610.</t>
        </is>
      </c>
      <c r="X7" s="2" t="n"/>
    </row>
    <row r="8">
      <c r="B8" s="10" t="n">
        <v>1.5e+24</v>
      </c>
      <c r="C8" s="10">
        <f>B8/$K$9</f>
        <v/>
      </c>
      <c r="D8" s="10" t="n">
        <v>3.6e+22</v>
      </c>
      <c r="E8" s="9" t="n">
        <v>7</v>
      </c>
    </row>
    <row r="9">
      <c r="B9" s="10" t="n">
        <v>2e+24</v>
      </c>
      <c r="C9" s="10">
        <f>B9/$K$9</f>
        <v/>
      </c>
      <c r="D9" s="10" t="n">
        <v>3e+22</v>
      </c>
      <c r="E9" s="9" t="n">
        <v>6.4</v>
      </c>
      <c r="K9" s="2" t="n">
        <v>6e+24</v>
      </c>
      <c r="L9" t="inlineStr">
        <is>
          <t>n&gt;&gt; dpa</t>
        </is>
      </c>
    </row>
    <row r="10">
      <c r="B10" s="10" t="n">
        <v>4e+22</v>
      </c>
      <c r="C10" s="10">
        <f>B10/$K$9</f>
        <v/>
      </c>
      <c r="D10" s="10" t="n">
        <v>2.8e+22</v>
      </c>
      <c r="E10" s="9" t="n">
        <v>6.6</v>
      </c>
    </row>
    <row r="11">
      <c r="B11" s="10" t="n">
        <v>9e+22</v>
      </c>
      <c r="C11" s="10">
        <f>B11/$K$9</f>
        <v/>
      </c>
      <c r="D11" s="10" t="n">
        <v>3e+22</v>
      </c>
      <c r="E11" s="9" t="n">
        <v>6.8</v>
      </c>
    </row>
    <row r="12">
      <c r="B12" s="10" t="n">
        <v>2e+23</v>
      </c>
      <c r="C12" s="10">
        <f>B12/$K$9</f>
        <v/>
      </c>
      <c r="D12" s="10" t="n">
        <v>2.7e+22</v>
      </c>
      <c r="E12" s="9" t="n">
        <v>7.2</v>
      </c>
    </row>
    <row r="13">
      <c r="B13" s="10" t="n">
        <v>7.999999999999999e+23</v>
      </c>
      <c r="C13" s="10">
        <f>B13/$K$9</f>
        <v/>
      </c>
      <c r="D13" s="10" t="n">
        <v>2.5e+22</v>
      </c>
      <c r="E13" s="9" t="n">
        <v>7</v>
      </c>
    </row>
    <row r="14">
      <c r="B14" s="10" t="n">
        <v>1e+24</v>
      </c>
      <c r="C14" s="10">
        <f>B14/$K$9</f>
        <v/>
      </c>
      <c r="D14" s="10" t="n">
        <v>2.2e+22</v>
      </c>
      <c r="E14" s="9" t="n">
        <v>7.5</v>
      </c>
      <c r="Q14" s="2" t="n"/>
    </row>
    <row r="16">
      <c r="A16" s="9" t="n">
        <v>350</v>
      </c>
      <c r="B16" s="10" t="n">
        <v>1e+25</v>
      </c>
      <c r="C16" s="10">
        <f>B16/$K$9</f>
        <v/>
      </c>
      <c r="D16" s="10" t="n">
        <v>3e+22</v>
      </c>
      <c r="E16" s="9" t="n">
        <v>10</v>
      </c>
    </row>
    <row r="17">
      <c r="A17" s="9" t="n">
        <v>400</v>
      </c>
      <c r="B17" s="10" t="n">
        <v>1e+25</v>
      </c>
      <c r="C17" s="9">
        <f>B17/$K$9</f>
        <v/>
      </c>
      <c r="D17" s="10" t="n">
        <v>1e+22</v>
      </c>
      <c r="E17" s="9" t="n">
        <v>22</v>
      </c>
    </row>
    <row r="20">
      <c r="F20" s="10" t="n"/>
    </row>
    <row r="21">
      <c r="F21" s="10" t="n"/>
    </row>
    <row r="22">
      <c r="F22" s="10" t="n"/>
    </row>
    <row r="23">
      <c r="F23" s="10" t="n"/>
    </row>
    <row r="24">
      <c r="F24" s="10" t="n"/>
    </row>
    <row r="25">
      <c r="F25" s="10" t="n"/>
    </row>
    <row r="27">
      <c r="C27" s="10" t="n"/>
      <c r="F27" s="10" t="n"/>
    </row>
    <row r="28">
      <c r="C28" s="10" t="n"/>
      <c r="F28" s="10" t="n"/>
    </row>
    <row r="29">
      <c r="C29" s="10" t="n"/>
      <c r="F29" s="10" t="n"/>
    </row>
    <row r="30">
      <c r="C30" s="10" t="n"/>
    </row>
    <row r="31">
      <c r="C31" s="10" t="n"/>
    </row>
    <row r="38">
      <c r="P38" s="9" t="n"/>
      <c r="Q38" s="9" t="n"/>
      <c r="R38" s="9" t="n"/>
    </row>
    <row r="39">
      <c r="P39" s="9" t="n"/>
      <c r="Q39" s="9" t="n"/>
      <c r="R39" s="9" t="n"/>
    </row>
    <row r="40">
      <c r="P40" s="9" t="n"/>
      <c r="Q40" s="9" t="n"/>
      <c r="R40" s="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Y41"/>
  <sheetViews>
    <sheetView topLeftCell="H11" zoomScale="200" zoomScaleNormal="200" workbookViewId="0">
      <selection activeCell="Y35" sqref="Y35"/>
    </sheetView>
  </sheetViews>
  <sheetFormatPr baseColWidth="10" defaultColWidth="8.83203125" defaultRowHeight="15"/>
  <cols>
    <col width="12.83203125" customWidth="1" style="9" min="1" max="1"/>
    <col width="10.6640625" customWidth="1" style="9" min="2" max="2"/>
    <col width="11.5" bestFit="1" customWidth="1" style="9" min="3" max="3"/>
    <col width="12.33203125" customWidth="1" style="9" min="4" max="4"/>
    <col width="8.6640625" customWidth="1" style="9" min="5" max="5"/>
    <col width="10.6640625" customWidth="1" style="9" min="6" max="6"/>
    <col width="11.5" bestFit="1" customWidth="1" style="9" min="7" max="7"/>
    <col width="8.6640625" customWidth="1" style="9" min="8" max="8"/>
    <col width="8.83203125" bestFit="1" customWidth="1" min="16" max="16"/>
    <col width="11.33203125" bestFit="1" customWidth="1" min="17" max="17"/>
    <col width="11.33203125" customWidth="1" min="18" max="18"/>
    <col width="8.83203125" bestFit="1" customWidth="1" min="19" max="22"/>
    <col width="8.83203125" bestFit="1" customWidth="1" min="24" max="24"/>
  </cols>
  <sheetData>
    <row r="3" ht="16" customHeight="1">
      <c r="A3" s="9" t="inlineStr">
        <is>
          <t>electrons</t>
        </is>
      </c>
      <c r="F3" s="9" t="inlineStr">
        <is>
          <t>dpa</t>
        </is>
      </c>
      <c r="G3" s="9" t="inlineStr">
        <is>
          <t>size nm</t>
        </is>
      </c>
    </row>
    <row r="4" ht="16" customHeight="1">
      <c r="A4" s="9" t="n">
        <v>400</v>
      </c>
      <c r="C4" s="9" t="inlineStr">
        <is>
          <t>dpa</t>
        </is>
      </c>
      <c r="D4" s="9" t="inlineStr">
        <is>
          <t>density, m^-3</t>
        </is>
      </c>
      <c r="F4" s="10">
        <f>$X$7*S13</f>
        <v/>
      </c>
      <c r="G4" t="n">
        <v>2.80746368288876</v>
      </c>
    </row>
    <row r="5">
      <c r="F5" s="10">
        <f>$X$7*S14</f>
        <v/>
      </c>
      <c r="G5" t="n">
        <v>4.77573985187061</v>
      </c>
    </row>
    <row r="6">
      <c r="F6" s="10">
        <f>$X$7*S15</f>
        <v/>
      </c>
      <c r="G6" t="n">
        <v>10.4618710067071</v>
      </c>
    </row>
    <row r="7">
      <c r="F7" s="10">
        <f>$X$7*S16</f>
        <v/>
      </c>
      <c r="G7" t="n">
        <v>15.153692107187</v>
      </c>
      <c r="Q7" t="inlineStr">
        <is>
          <t>Electron Irradiation (Hellio JNM 159(1988)368).</t>
        </is>
      </c>
      <c r="W7" t="inlineStr">
        <is>
          <t>dpa rate=</t>
        </is>
      </c>
      <c r="X7" s="2" t="n">
        <v>0.0005</v>
      </c>
      <c r="Y7" t="inlineStr">
        <is>
          <t>dpa/s</t>
        </is>
      </c>
    </row>
    <row r="8">
      <c r="F8" s="10">
        <f>$X$7*S17</f>
        <v/>
      </c>
      <c r="G8" t="n">
        <v>17.6763406338408</v>
      </c>
    </row>
    <row r="9">
      <c r="F9" s="10">
        <f>$X$7*S18</f>
        <v/>
      </c>
      <c r="G9" t="n">
        <v>22.7241806796147</v>
      </c>
      <c r="K9" s="2" t="n"/>
      <c r="S9" t="inlineStr">
        <is>
          <t>pure</t>
        </is>
      </c>
      <c r="U9" t="inlineStr">
        <is>
          <t>oxygen</t>
        </is>
      </c>
    </row>
    <row r="11">
      <c r="A11" s="9" t="n">
        <v>450</v>
      </c>
      <c r="C11" s="10">
        <f>$X$7*Q20</f>
        <v/>
      </c>
      <c r="D11" s="9">
        <f>R20*100000000000000000000</f>
        <v/>
      </c>
      <c r="F11" s="10">
        <f>$X$7*S20</f>
        <v/>
      </c>
      <c r="G11" s="9">
        <f>T20</f>
        <v/>
      </c>
    </row>
    <row r="12">
      <c r="C12" s="10">
        <f>$X$7*Q21</f>
        <v/>
      </c>
      <c r="D12" s="9">
        <f>R21*100000000000000000000</f>
        <v/>
      </c>
      <c r="F12" s="10">
        <f>$X$7*S21</f>
        <v/>
      </c>
      <c r="G12" s="9">
        <f>T21</f>
        <v/>
      </c>
      <c r="Q12" t="inlineStr">
        <is>
          <t>TIME, S</t>
        </is>
      </c>
      <c r="R12" t="inlineStr">
        <is>
          <t>DENSITY, E20</t>
        </is>
      </c>
      <c r="S12" t="inlineStr">
        <is>
          <t>TIME, S</t>
        </is>
      </c>
      <c r="T12" t="inlineStr">
        <is>
          <t>SIZE, NM</t>
        </is>
      </c>
      <c r="U12" t="inlineStr">
        <is>
          <t>TIME, S</t>
        </is>
      </c>
      <c r="V12" t="inlineStr">
        <is>
          <t>SIZE, NM</t>
        </is>
      </c>
    </row>
    <row r="13">
      <c r="C13" s="10">
        <f>$X$7*Q22</f>
        <v/>
      </c>
      <c r="D13" s="9">
        <f>R22*100000000000000000000</f>
        <v/>
      </c>
      <c r="F13" s="10">
        <f>$X$7*S22</f>
        <v/>
      </c>
      <c r="G13" s="9">
        <f>T22</f>
        <v/>
      </c>
      <c r="P13" t="n">
        <v>400</v>
      </c>
      <c r="S13" t="n">
        <v>394.617332612819</v>
      </c>
      <c r="T13" t="n">
        <v>2.80746368288876</v>
      </c>
    </row>
    <row r="14">
      <c r="C14" s="10">
        <f>$X$7*Q23</f>
        <v/>
      </c>
      <c r="D14" s="9">
        <f>R23*100000000000000000000</f>
        <v/>
      </c>
      <c r="S14" t="n">
        <v>519.401972938322</v>
      </c>
      <c r="T14" t="n">
        <v>4.77573985187061</v>
      </c>
    </row>
    <row r="15">
      <c r="C15" s="10">
        <f>$X$7*Q24</f>
        <v/>
      </c>
      <c r="D15" s="9">
        <f>R24*100000000000000000000</f>
        <v/>
      </c>
      <c r="S15" t="n">
        <v>724.335378323108</v>
      </c>
      <c r="T15" t="n">
        <v>10.4618710067071</v>
      </c>
    </row>
    <row r="16">
      <c r="S16" t="n">
        <v>880.701865920723</v>
      </c>
      <c r="T16" t="n">
        <v>15.153692107187</v>
      </c>
    </row>
    <row r="17">
      <c r="A17" s="9" t="n">
        <v>500</v>
      </c>
      <c r="C17" s="9">
        <f>0.0005*Q26</f>
        <v/>
      </c>
      <c r="D17" s="9">
        <f>100000000000000000000*R26</f>
        <v/>
      </c>
      <c r="F17" s="9">
        <f>0.0005*S26</f>
        <v/>
      </c>
      <c r="G17" s="9">
        <f>T26</f>
        <v/>
      </c>
      <c r="S17" t="n">
        <v>1185.33541011051</v>
      </c>
      <c r="T17" t="n">
        <v>17.6763406338408</v>
      </c>
    </row>
    <row r="18">
      <c r="C18" s="9">
        <f>0.0005*Q27</f>
        <v/>
      </c>
      <c r="D18" s="9">
        <f>100000000000000000000*R27</f>
        <v/>
      </c>
      <c r="F18" s="9">
        <f>0.0005*S27</f>
        <v/>
      </c>
      <c r="G18" s="9">
        <f>T27</f>
        <v/>
      </c>
      <c r="S18" t="n">
        <v>1324.47948122954</v>
      </c>
      <c r="T18" t="n">
        <v>22.7241806796147</v>
      </c>
    </row>
    <row r="19">
      <c r="C19" s="9">
        <f>0.0005*Q28</f>
        <v/>
      </c>
      <c r="D19" s="9">
        <f>100000000000000000000*R28</f>
        <v/>
      </c>
      <c r="F19" s="9">
        <f>0.0005*S28</f>
        <v/>
      </c>
      <c r="G19" s="9">
        <f>T28</f>
        <v/>
      </c>
    </row>
    <row r="20">
      <c r="C20" s="9">
        <f>0.0005*Q29</f>
        <v/>
      </c>
      <c r="D20" s="9">
        <f>100000000000000000000*R29</f>
        <v/>
      </c>
      <c r="P20" t="n">
        <v>450</v>
      </c>
      <c r="Q20" t="n">
        <v>245.694283836966</v>
      </c>
      <c r="R20" t="n">
        <v>2.05336565049617</v>
      </c>
      <c r="S20" t="n">
        <v>318.458946565371</v>
      </c>
      <c r="T20" t="n">
        <v>2.17680155122529</v>
      </c>
    </row>
    <row r="21">
      <c r="C21" s="9">
        <f>0.0005*Q30</f>
        <v/>
      </c>
      <c r="D21" s="9">
        <f>100000000000000000000*R30</f>
        <v/>
      </c>
      <c r="Q21" t="n">
        <v>386.482064106633</v>
      </c>
      <c r="R21" t="n">
        <v>6.98077896752311</v>
      </c>
      <c r="S21" t="n">
        <v>826.349640272524</v>
      </c>
      <c r="T21" t="n">
        <v>20.6872437140405</v>
      </c>
    </row>
    <row r="22">
      <c r="Q22" t="n">
        <v>595.898918744907</v>
      </c>
      <c r="R22" t="n">
        <v>8.14895583602547</v>
      </c>
      <c r="S22" t="n">
        <v>1299.67682804073</v>
      </c>
      <c r="T22" t="n">
        <v>39.2231158015194</v>
      </c>
    </row>
    <row r="23">
      <c r="A23" s="9" t="n">
        <v>550</v>
      </c>
      <c r="C23" s="9">
        <f>0.0005*Q33</f>
        <v/>
      </c>
      <c r="D23" s="9">
        <f>100000000000000000000*R33</f>
        <v/>
      </c>
      <c r="F23" s="9">
        <f>0.0005*U33</f>
        <v/>
      </c>
      <c r="G23" t="n">
        <v>11.4590122127455</v>
      </c>
      <c r="Q23" t="n">
        <v>718.792103114685</v>
      </c>
      <c r="R23" t="n">
        <v>7.98980045743209</v>
      </c>
    </row>
    <row r="24">
      <c r="C24" s="9">
        <f>0.0005*Q34</f>
        <v/>
      </c>
      <c r="D24" s="9">
        <f>100000000000000000000*R34</f>
        <v/>
      </c>
      <c r="F24" s="9">
        <f>0.0005*U34</f>
        <v/>
      </c>
      <c r="G24" t="n">
        <v>14.4186903176447</v>
      </c>
      <c r="Q24" t="n">
        <v>821.2706618643321</v>
      </c>
      <c r="R24" t="n">
        <v>7.75895540055119</v>
      </c>
    </row>
    <row r="25">
      <c r="C25" s="9">
        <f>0.0005*Q35</f>
        <v/>
      </c>
      <c r="D25" s="9">
        <f>100000000000000000000*R35</f>
        <v/>
      </c>
      <c r="F25" s="9">
        <f>0.0005*U35</f>
        <v/>
      </c>
      <c r="G25" t="n">
        <v>17.0950100592219</v>
      </c>
    </row>
    <row r="26">
      <c r="F26" s="9">
        <f>0.0005*U36</f>
        <v/>
      </c>
      <c r="G26" t="n">
        <v>20.6596582698138</v>
      </c>
      <c r="P26" t="n">
        <v>500</v>
      </c>
      <c r="Q26" t="n">
        <v>434.141682300739</v>
      </c>
      <c r="R26" t="n">
        <v>4.10454304929463</v>
      </c>
      <c r="S26" t="n">
        <v>451.046335441898</v>
      </c>
      <c r="T26" t="n">
        <v>9.289551479703629</v>
      </c>
      <c r="U26" t="n">
        <v>494.36966932079</v>
      </c>
      <c r="V26" t="n">
        <v>3.38188206624925</v>
      </c>
    </row>
    <row r="27">
      <c r="Q27" t="n">
        <v>595.3726650833</v>
      </c>
      <c r="R27" t="n">
        <v>4.75262154818855</v>
      </c>
      <c r="S27" t="n">
        <v>608.7775623298051</v>
      </c>
      <c r="T27" t="n">
        <v>21.8773641883086</v>
      </c>
      <c r="U27" t="n">
        <v>779.2411663030221</v>
      </c>
      <c r="V27" t="n">
        <v>4.36655237879353</v>
      </c>
    </row>
    <row r="28">
      <c r="Q28" t="n">
        <v>737.61582907848</v>
      </c>
      <c r="R28" t="n">
        <v>5.20075666048226</v>
      </c>
      <c r="S28" t="n">
        <v>754.834334636617</v>
      </c>
      <c r="T28" t="n">
        <v>26.9201182491497</v>
      </c>
      <c r="U28" t="n">
        <v>1012.75962710039</v>
      </c>
      <c r="V28" t="n">
        <v>7.06412399761986</v>
      </c>
    </row>
    <row r="29">
      <c r="A29" s="9" t="n">
        <v>600</v>
      </c>
      <c r="C29" s="9">
        <f>0.0005*Q38</f>
        <v/>
      </c>
      <c r="D29" s="9">
        <f>100000000000000000000*R38</f>
        <v/>
      </c>
      <c r="F29" s="9">
        <f>0.0005*S38</f>
        <v/>
      </c>
      <c r="G29" t="n">
        <v>10.7670301026733</v>
      </c>
      <c r="Q29" t="n">
        <v>786.287053608864</v>
      </c>
      <c r="R29" t="n">
        <v>4.73259884205822</v>
      </c>
      <c r="U29" t="n">
        <v>1115.90207134964</v>
      </c>
      <c r="V29" t="n">
        <v>9.99688305800351</v>
      </c>
    </row>
    <row r="30">
      <c r="C30" s="9">
        <f>0.0005*Q39</f>
        <v/>
      </c>
      <c r="D30" s="9">
        <f>100000000000000000000*R39</f>
        <v/>
      </c>
      <c r="F30" s="9">
        <f>0.0005*S39</f>
        <v/>
      </c>
      <c r="G30" t="n">
        <v>31.2254044947392</v>
      </c>
      <c r="Q30" t="n">
        <v>887.825524320323</v>
      </c>
      <c r="R30" t="n">
        <v>4.64737823332166</v>
      </c>
      <c r="U30" t="n">
        <v>1314.88764840894</v>
      </c>
      <c r="V30" t="n">
        <v>9.501005922189821</v>
      </c>
    </row>
    <row r="31">
      <c r="C31" s="9">
        <f>0.0005*Q40</f>
        <v/>
      </c>
      <c r="D31" s="9">
        <f>100000000000000000000*R40</f>
        <v/>
      </c>
      <c r="F31" s="9">
        <f>0.0005*S40</f>
        <v/>
      </c>
      <c r="G31" t="n">
        <v>69.04224546234779</v>
      </c>
    </row>
    <row r="33">
      <c r="P33" t="n">
        <v>550</v>
      </c>
      <c r="Q33" t="n">
        <v>645.084489577794</v>
      </c>
      <c r="R33" t="n">
        <v>3.80744306043405</v>
      </c>
      <c r="U33" t="n">
        <v>457.178884134766</v>
      </c>
      <c r="V33" t="n">
        <v>11.4590122127455</v>
      </c>
    </row>
    <row r="34">
      <c r="Q34" t="n">
        <v>762.796388286336</v>
      </c>
      <c r="R34" t="n">
        <v>3.55799215986979</v>
      </c>
      <c r="U34" t="n">
        <v>625.5192542007881</v>
      </c>
      <c r="V34" t="n">
        <v>14.4186903176447</v>
      </c>
    </row>
    <row r="35">
      <c r="Q35" t="n">
        <v>889.843682344394</v>
      </c>
      <c r="R35" t="n">
        <v>3.11046163897549</v>
      </c>
      <c r="U35" t="n">
        <v>807.565668300701</v>
      </c>
      <c r="V35" t="n">
        <v>17.0950100592219</v>
      </c>
    </row>
    <row r="36">
      <c r="U36" t="n">
        <v>1041.14363435437</v>
      </c>
      <c r="V36" t="n">
        <v>20.6596582698138</v>
      </c>
    </row>
    <row r="38">
      <c r="P38" s="9" t="n">
        <v>600</v>
      </c>
      <c r="Q38" s="9" t="n">
        <v>89.1964557946684</v>
      </c>
      <c r="R38" s="9" t="n">
        <v>0.727370958522546</v>
      </c>
      <c r="S38" t="n">
        <v>309.573307055744</v>
      </c>
      <c r="T38" t="n">
        <v>10.7670301026733</v>
      </c>
      <c r="U38" t="n">
        <v>440.47774220056</v>
      </c>
      <c r="V38" t="n">
        <v>18.0995154571988</v>
      </c>
    </row>
    <row r="39">
      <c r="P39" s="9" t="n"/>
      <c r="Q39" s="9" t="n">
        <v>632.826006758736</v>
      </c>
      <c r="R39" s="9" t="n">
        <v>1.02335771320436</v>
      </c>
      <c r="S39" t="n">
        <v>503.232779172891</v>
      </c>
      <c r="T39" t="n">
        <v>31.2254044947392</v>
      </c>
      <c r="U39" t="n">
        <v>691.1733869825169</v>
      </c>
      <c r="V39" t="n">
        <v>21.0931965656967</v>
      </c>
    </row>
    <row r="40">
      <c r="P40" s="9" t="n"/>
      <c r="Q40" s="9" t="n">
        <v>869.924861837341</v>
      </c>
      <c r="R40" s="9" t="n">
        <v>1.04976604318303</v>
      </c>
      <c r="S40" t="n">
        <v>903.843097364824</v>
      </c>
      <c r="T40" t="n">
        <v>69.04224546234779</v>
      </c>
      <c r="U40" t="n">
        <v>887.223371397807</v>
      </c>
      <c r="V40" t="n">
        <v>27.8215409027798</v>
      </c>
    </row>
    <row r="41">
      <c r="U41" t="n">
        <v>1234.57538749256</v>
      </c>
      <c r="V41" t="n">
        <v>39.2366325692103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10"/>
  <sheetViews>
    <sheetView zoomScale="200" zoomScaleNormal="200" workbookViewId="0">
      <selection activeCell="F14" sqref="F14"/>
    </sheetView>
  </sheetViews>
  <sheetFormatPr baseColWidth="10" defaultColWidth="8.83203125" defaultRowHeight="15"/>
  <cols>
    <col width="8.6640625" customWidth="1" style="12" min="6" max="6"/>
  </cols>
  <sheetData>
    <row r="2">
      <c r="J2" s="11" t="inlineStr">
        <is>
          <t>Jostons JNM66(1977)236 &amp; JNM68(1977)267</t>
        </is>
      </c>
    </row>
    <row r="3" ht="87" customFormat="1" customHeight="1" s="9">
      <c r="A3" s="9" t="inlineStr">
        <is>
          <t>Irradiation temperature (K)</t>
        </is>
      </c>
      <c r="B3" s="9" t="inlineStr">
        <is>
          <t>Fast neutron fluence (&gt;1 MeV) (neutrons m^-2)</t>
        </is>
      </c>
      <c r="C3" s="9" t="inlineStr">
        <is>
          <t>dpa</t>
        </is>
      </c>
      <c r="D3" s="9" t="inlineStr">
        <is>
          <t>Loop concentration (m^-3)</t>
        </is>
      </c>
      <c r="E3" s="9" t="inlineStr">
        <is>
          <t>Average loop diameter (nm)</t>
        </is>
      </c>
      <c r="F3" s="13" t="inlineStr">
        <is>
          <t>Interstitial loops (%)</t>
        </is>
      </c>
    </row>
    <row r="4">
      <c r="A4" t="n">
        <v>708</v>
      </c>
      <c r="B4" t="n">
        <v>6.4e+23</v>
      </c>
      <c r="C4">
        <f>B4/6E+24</f>
        <v/>
      </c>
      <c r="F4" s="14" t="n"/>
      <c r="J4" s="2" t="n">
        <v>6e+24</v>
      </c>
    </row>
    <row r="5">
      <c r="A5" t="n">
        <v>668</v>
      </c>
      <c r="B5" t="n">
        <v>3.3e+23</v>
      </c>
      <c r="C5">
        <f>B5/6E+24</f>
        <v/>
      </c>
      <c r="D5" t="n">
        <v>7e+20</v>
      </c>
      <c r="E5" t="n">
        <v>33</v>
      </c>
      <c r="F5" s="14" t="inlineStr">
        <is>
          <t>23–33</t>
        </is>
      </c>
    </row>
    <row r="6">
      <c r="A6" t="n">
        <v>668</v>
      </c>
      <c r="B6" t="n">
        <v>6.4e+23</v>
      </c>
      <c r="C6">
        <f>B6/6E+24</f>
        <v/>
      </c>
      <c r="D6" t="n">
        <v>2e+20</v>
      </c>
      <c r="E6" t="n">
        <v>56</v>
      </c>
      <c r="F6" s="14" t="inlineStr">
        <is>
          <t>9–33</t>
        </is>
      </c>
    </row>
    <row r="7">
      <c r="A7" t="n">
        <v>668</v>
      </c>
      <c r="B7" t="n">
        <v>1.8e+24</v>
      </c>
      <c r="C7">
        <f>B7/6E+24</f>
        <v/>
      </c>
      <c r="D7" t="n">
        <v>2e+20</v>
      </c>
      <c r="E7" t="n">
        <v>62</v>
      </c>
      <c r="F7" s="14" t="inlineStr">
        <is>
          <t>37–55</t>
        </is>
      </c>
    </row>
    <row r="8">
      <c r="A8" t="n">
        <v>623</v>
      </c>
      <c r="B8" t="n">
        <v>2e+23</v>
      </c>
      <c r="C8">
        <f>B8/6E+24</f>
        <v/>
      </c>
      <c r="D8" t="n">
        <v>8e+20</v>
      </c>
      <c r="E8" t="n">
        <v>10</v>
      </c>
      <c r="F8" s="14" t="n"/>
    </row>
    <row r="9">
      <c r="A9" t="n">
        <v>623</v>
      </c>
      <c r="B9" t="n">
        <v>5.3e+23</v>
      </c>
      <c r="C9">
        <f>B9/6E+24</f>
        <v/>
      </c>
      <c r="D9" t="n">
        <v>2.7e+21</v>
      </c>
      <c r="E9" t="n">
        <v>23</v>
      </c>
      <c r="F9" s="14" t="inlineStr">
        <is>
          <t>47–63</t>
        </is>
      </c>
    </row>
    <row r="10">
      <c r="A10" t="n">
        <v>573</v>
      </c>
      <c r="B10" t="n">
        <v>3.8e+23</v>
      </c>
      <c r="C10">
        <f>B10/6E+24</f>
        <v/>
      </c>
      <c r="D10" t="n">
        <v>1.2e+22</v>
      </c>
      <c r="E10" t="n">
        <v>9</v>
      </c>
      <c r="F10" s="14" t="n"/>
    </row>
  </sheetData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K1:W9"/>
  <sheetViews>
    <sheetView topLeftCell="K1" zoomScale="200" zoomScaleNormal="200" workbookViewId="0">
      <selection activeCell="T12" sqref="T12"/>
    </sheetView>
  </sheetViews>
  <sheetFormatPr baseColWidth="10" defaultColWidth="8.83203125" defaultRowHeight="15"/>
  <sheetData>
    <row r="1">
      <c r="L1" t="inlineStr">
        <is>
          <t>0.2 dpa</t>
        </is>
      </c>
      <c r="O1" t="inlineStr">
        <is>
          <t>2 dpa</t>
        </is>
      </c>
    </row>
    <row r="3">
      <c r="K3" t="inlineStr">
        <is>
          <t>Temperature (°C)</t>
        </is>
      </c>
      <c r="L3" t="inlineStr">
        <is>
          <t>log(density)</t>
        </is>
      </c>
      <c r="N3" t="inlineStr">
        <is>
          <t>Temperature (°C)</t>
        </is>
      </c>
      <c r="O3" t="inlineStr">
        <is>
          <t>log(density)</t>
        </is>
      </c>
      <c r="R3" t="inlineStr">
        <is>
          <t>Temperature (°C)</t>
        </is>
      </c>
      <c r="S3" t="inlineStr">
        <is>
          <t>Density ($m^{-3}$</t>
        </is>
      </c>
      <c r="V3" t="inlineStr">
        <is>
          <t>Temperature (°C)</t>
        </is>
      </c>
      <c r="W3" t="inlineStr">
        <is>
          <t>Density ($m^{-3}$</t>
        </is>
      </c>
    </row>
    <row r="4">
      <c r="K4" t="n">
        <v>573</v>
      </c>
      <c r="L4">
        <f>LOG10(S4)</f>
        <v/>
      </c>
      <c r="N4" t="n">
        <v>478</v>
      </c>
      <c r="O4">
        <f>LOG10(W4)</f>
        <v/>
      </c>
      <c r="R4" t="n">
        <v>573</v>
      </c>
      <c r="S4" s="2" t="n">
        <v>1.2e+22</v>
      </c>
      <c r="V4" t="n">
        <v>478</v>
      </c>
      <c r="W4" s="2" t="n">
        <v>6e+22</v>
      </c>
    </row>
    <row r="5">
      <c r="K5" t="n">
        <v>623</v>
      </c>
      <c r="L5">
        <f>LOG10(S5)</f>
        <v/>
      </c>
      <c r="N5" t="n">
        <v>523</v>
      </c>
      <c r="O5">
        <f>LOG10(W5)</f>
        <v/>
      </c>
      <c r="R5" t="n">
        <v>623</v>
      </c>
      <c r="S5" s="2" t="n">
        <v>2.4e+21</v>
      </c>
      <c r="V5" t="n">
        <v>523</v>
      </c>
      <c r="W5" s="2" t="n">
        <v>3.2e+22</v>
      </c>
    </row>
    <row r="6">
      <c r="K6" t="n">
        <v>673</v>
      </c>
      <c r="L6">
        <f>LOG10(S6)</f>
        <v/>
      </c>
      <c r="N6" t="n">
        <v>573</v>
      </c>
      <c r="O6">
        <f>LOG10(W6)</f>
        <v/>
      </c>
      <c r="R6" t="n">
        <v>673</v>
      </c>
      <c r="S6" s="2" t="n">
        <v>2e+20</v>
      </c>
      <c r="V6" t="n">
        <v>573</v>
      </c>
      <c r="W6" s="2" t="n">
        <v>1.8e+22</v>
      </c>
    </row>
    <row r="7">
      <c r="N7" t="n">
        <v>623</v>
      </c>
      <c r="O7">
        <f>LOG10(W7)</f>
        <v/>
      </c>
      <c r="V7" t="n">
        <v>623</v>
      </c>
      <c r="W7" s="2" t="n">
        <v>4.6e+21</v>
      </c>
    </row>
    <row r="8">
      <c r="N8" t="n">
        <v>673</v>
      </c>
      <c r="O8">
        <f>LOG10(W8)</f>
        <v/>
      </c>
      <c r="V8" t="n">
        <v>673</v>
      </c>
      <c r="W8" s="2" t="n">
        <v>1.4e+21</v>
      </c>
    </row>
    <row r="9">
      <c r="N9" t="n">
        <v>723</v>
      </c>
      <c r="O9">
        <f>LOG10(W9)</f>
        <v/>
      </c>
      <c r="V9" t="n">
        <v>723</v>
      </c>
      <c r="W9" s="2" t="n">
        <v>1.8e+20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34"/>
  <sheetViews>
    <sheetView zoomScale="200" zoomScaleNormal="200" workbookViewId="0">
      <selection activeCell="D3" sqref="D3"/>
    </sheetView>
  </sheetViews>
  <sheetFormatPr baseColWidth="10" defaultColWidth="8.83203125" defaultRowHeight="15"/>
  <cols>
    <col width="12" customWidth="1" min="3" max="3"/>
  </cols>
  <sheetData>
    <row r="2">
      <c r="A2" t="inlineStr">
        <is>
          <t>T (K)</t>
        </is>
      </c>
      <c r="B2" t="inlineStr">
        <is>
          <t>dpa</t>
        </is>
      </c>
      <c r="C2" t="inlineStr">
        <is>
          <t>N_L (1/m^3)</t>
        </is>
      </c>
      <c r="D2" t="inlineStr">
        <is>
          <t>d (nm)</t>
        </is>
      </c>
    </row>
    <row r="3">
      <c r="A3" t="n">
        <v>300</v>
      </c>
      <c r="C3" t="n">
        <v>1.2e+22</v>
      </c>
      <c r="D3" t="n">
        <v>9</v>
      </c>
    </row>
    <row r="4">
      <c r="A4" t="n">
        <v>300</v>
      </c>
      <c r="B4" t="n">
        <v>0.08333333333333333</v>
      </c>
      <c r="C4" t="n">
        <v>1e+22</v>
      </c>
      <c r="D4" t="n">
        <v>4.5</v>
      </c>
    </row>
    <row r="5">
      <c r="B5" t="n">
        <v>0.1333333333333333</v>
      </c>
      <c r="C5" t="n">
        <v>2.5e+22</v>
      </c>
      <c r="D5" t="n">
        <v>5.8</v>
      </c>
    </row>
    <row r="6">
      <c r="B6" t="n">
        <v>0.25</v>
      </c>
      <c r="C6" t="n">
        <v>3.6e+22</v>
      </c>
      <c r="D6" t="n">
        <v>7</v>
      </c>
    </row>
    <row r="7">
      <c r="B7" t="n">
        <v>0.3333333333333333</v>
      </c>
      <c r="C7" t="n">
        <v>3e+22</v>
      </c>
      <c r="D7" t="n">
        <v>6.4</v>
      </c>
    </row>
    <row r="8">
      <c r="B8" t="n">
        <v>0.006666666666666667</v>
      </c>
      <c r="C8" t="n">
        <v>2.8e+22</v>
      </c>
      <c r="D8" t="n">
        <v>6.6</v>
      </c>
    </row>
    <row r="9">
      <c r="B9" t="n">
        <v>0.015</v>
      </c>
      <c r="C9" t="n">
        <v>3e+22</v>
      </c>
      <c r="D9" t="n">
        <v>6.8</v>
      </c>
    </row>
    <row r="10">
      <c r="B10" t="n">
        <v>0.03333333333333333</v>
      </c>
      <c r="C10" t="n">
        <v>2.7e+22</v>
      </c>
      <c r="D10" t="n">
        <v>7.2</v>
      </c>
    </row>
    <row r="11">
      <c r="B11" t="n">
        <v>0.1333333333333333</v>
      </c>
      <c r="C11" t="n">
        <v>2.5e+22</v>
      </c>
      <c r="D11" t="n">
        <v>7</v>
      </c>
    </row>
    <row r="12">
      <c r="B12" t="n">
        <v>0.1666666666666667</v>
      </c>
      <c r="C12" t="n">
        <v>2.2e+22</v>
      </c>
      <c r="D12" t="n">
        <v>7.5</v>
      </c>
    </row>
    <row r="14">
      <c r="A14" t="n">
        <v>350</v>
      </c>
      <c r="B14" t="n">
        <v>1.666666666666667</v>
      </c>
      <c r="C14" t="n">
        <v>3e+22</v>
      </c>
      <c r="D14" t="n">
        <v>10</v>
      </c>
    </row>
    <row r="15">
      <c r="A15" t="n">
        <v>400</v>
      </c>
      <c r="B15" t="n">
        <v>1.666666666666667</v>
      </c>
      <c r="C15" t="n">
        <v>1e+22</v>
      </c>
      <c r="D15" t="n">
        <v>22</v>
      </c>
    </row>
    <row r="17">
      <c r="A17" t="n">
        <v>708</v>
      </c>
      <c r="B17" t="n">
        <v>0.1066666666666667</v>
      </c>
    </row>
    <row r="18">
      <c r="A18" t="n">
        <v>668</v>
      </c>
      <c r="B18" t="n">
        <v>0.05500000000000001</v>
      </c>
      <c r="C18" t="n">
        <v>7e+20</v>
      </c>
      <c r="D18" t="n">
        <v>33</v>
      </c>
    </row>
    <row r="19">
      <c r="A19" t="n">
        <v>668</v>
      </c>
      <c r="B19" t="n">
        <v>0.1066666666666667</v>
      </c>
      <c r="C19" t="n">
        <v>2e+20</v>
      </c>
      <c r="D19" t="n">
        <v>56</v>
      </c>
    </row>
    <row r="20">
      <c r="A20" t="n">
        <v>668</v>
      </c>
      <c r="B20" t="n">
        <v>0.3</v>
      </c>
      <c r="C20" t="n">
        <v>2e+20</v>
      </c>
      <c r="D20" t="n">
        <v>62</v>
      </c>
    </row>
    <row r="21">
      <c r="A21" t="n">
        <v>623</v>
      </c>
      <c r="B21" t="n">
        <v>0.03333333333333333</v>
      </c>
      <c r="C21" t="n">
        <v>8e+20</v>
      </c>
      <c r="D21" t="n">
        <v>10</v>
      </c>
    </row>
    <row r="22">
      <c r="A22" t="n">
        <v>623</v>
      </c>
      <c r="B22" t="n">
        <v>0.08833333333333333</v>
      </c>
      <c r="C22" t="n">
        <v>2.7e+21</v>
      </c>
      <c r="D22" t="n">
        <v>23</v>
      </c>
    </row>
    <row r="23">
      <c r="A23" t="n">
        <v>573</v>
      </c>
      <c r="B23" t="n">
        <v>0.06333333333333332</v>
      </c>
      <c r="C23" t="n">
        <v>1.2e+22</v>
      </c>
      <c r="D23" t="n">
        <v>9</v>
      </c>
    </row>
    <row r="25">
      <c r="A25" t="n">
        <v>573</v>
      </c>
      <c r="B25" t="n">
        <v>0.2</v>
      </c>
      <c r="C25" t="n">
        <v>1.200000000000008e+22</v>
      </c>
    </row>
    <row r="26">
      <c r="A26" t="n">
        <v>623</v>
      </c>
      <c r="B26" t="n">
        <v>0.2</v>
      </c>
      <c r="C26" t="n">
        <v>2.400000000000009e+21</v>
      </c>
    </row>
    <row r="27">
      <c r="A27" t="n">
        <v>673</v>
      </c>
      <c r="B27" t="n">
        <v>0.2</v>
      </c>
      <c r="C27" t="n">
        <v>2.000000000000005e+20</v>
      </c>
    </row>
    <row r="29">
      <c r="A29" t="n">
        <v>478</v>
      </c>
      <c r="B29" t="n">
        <v>2</v>
      </c>
      <c r="C29" t="n">
        <v>6.000000000000015e+22</v>
      </c>
    </row>
    <row r="30">
      <c r="A30" t="n">
        <v>523</v>
      </c>
      <c r="B30" t="n">
        <v>2</v>
      </c>
      <c r="C30" t="n">
        <v>3.200000000000024e+22</v>
      </c>
    </row>
    <row r="31">
      <c r="A31" t="n">
        <v>573</v>
      </c>
      <c r="B31" t="n">
        <v>2</v>
      </c>
      <c r="C31" t="n">
        <v>1.800000000000005e+22</v>
      </c>
    </row>
    <row r="32">
      <c r="A32" t="n">
        <v>623</v>
      </c>
      <c r="B32" t="n">
        <v>2</v>
      </c>
      <c r="C32" t="n">
        <v>4.600000000000012e+21</v>
      </c>
    </row>
    <row r="33">
      <c r="A33" t="n">
        <v>673</v>
      </c>
      <c r="B33" t="n">
        <v>2</v>
      </c>
      <c r="C33" t="n">
        <v>1.400000000000006e+21</v>
      </c>
    </row>
    <row r="34">
      <c r="A34" t="n">
        <v>723</v>
      </c>
      <c r="B34" t="n">
        <v>2</v>
      </c>
      <c r="C34" t="n">
        <v>1.800000000000013e+20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D21"/>
  <sheetViews>
    <sheetView tabSelected="1" topLeftCell="A6" zoomScale="200" zoomScaleNormal="200" workbookViewId="0">
      <selection activeCell="A20" sqref="A20:XFD21"/>
    </sheetView>
  </sheetViews>
  <sheetFormatPr baseColWidth="10" defaultColWidth="8.83203125" defaultRowHeight="15"/>
  <cols>
    <col width="11.1640625" customWidth="1" min="1" max="1"/>
  </cols>
  <sheetData>
    <row r="2">
      <c r="A2" t="inlineStr">
        <is>
          <t>parameter</t>
        </is>
      </c>
      <c r="B2" t="inlineStr">
        <is>
          <t xml:space="preserve">min </t>
        </is>
      </c>
      <c r="C2" t="inlineStr">
        <is>
          <t>max</t>
        </is>
      </c>
      <c r="D2" t="inlineStr">
        <is>
          <t>seed</t>
        </is>
      </c>
    </row>
    <row r="4">
      <c r="A4" t="inlineStr">
        <is>
          <t>Z_N</t>
        </is>
      </c>
      <c r="B4" t="n">
        <v>1.01</v>
      </c>
      <c r="C4" t="n">
        <v>1.3</v>
      </c>
      <c r="D4" t="n">
        <v>1.1</v>
      </c>
    </row>
    <row r="5">
      <c r="A5" t="inlineStr">
        <is>
          <t>E_m_i</t>
        </is>
      </c>
      <c r="B5" t="n">
        <v>0.2</v>
      </c>
      <c r="C5" t="n">
        <v>1.2</v>
      </c>
      <c r="D5" t="n">
        <v>0.95</v>
      </c>
    </row>
    <row r="6">
      <c r="A6" t="inlineStr">
        <is>
          <t>E_m_v</t>
        </is>
      </c>
      <c r="B6" t="n">
        <v>0.6</v>
      </c>
      <c r="C6" t="n">
        <v>1.5</v>
      </c>
      <c r="D6" t="n">
        <v>1.2</v>
      </c>
    </row>
    <row r="7">
      <c r="A7" t="inlineStr">
        <is>
          <t>E_b_2i</t>
        </is>
      </c>
      <c r="B7" t="n">
        <v>0.2</v>
      </c>
      <c r="C7" t="n">
        <v>2</v>
      </c>
      <c r="D7" t="n">
        <v>1.42</v>
      </c>
    </row>
    <row r="8">
      <c r="A8" t="inlineStr">
        <is>
          <t>epsilon_vL</t>
        </is>
      </c>
      <c r="B8" t="n">
        <v>0.005</v>
      </c>
      <c r="C8" t="n">
        <v>0.02</v>
      </c>
      <c r="D8" t="n">
        <v>0.0001</v>
      </c>
    </row>
    <row r="9">
      <c r="A9" t="inlineStr">
        <is>
          <t>epsilon_2i</t>
        </is>
      </c>
      <c r="B9" t="n">
        <v>0.001</v>
      </c>
      <c r="C9" t="n">
        <v>0.01</v>
      </c>
      <c r="D9" t="n">
        <v>0.00335</v>
      </c>
    </row>
    <row r="10">
      <c r="A10" t="inlineStr">
        <is>
          <t>tau_vL0</t>
        </is>
      </c>
      <c r="B10" t="n">
        <v>1e-06</v>
      </c>
      <c r="C10" t="n">
        <v>0.1</v>
      </c>
      <c r="D10" t="n">
        <v>0.000288327</v>
      </c>
    </row>
    <row r="11">
      <c r="A11" t="inlineStr">
        <is>
          <t>E_a_vL</t>
        </is>
      </c>
      <c r="B11" t="n">
        <v>0.1</v>
      </c>
      <c r="C11" t="n">
        <v>1.5</v>
      </c>
      <c r="D11" t="n">
        <v>1.19359</v>
      </c>
    </row>
    <row r="12">
      <c r="A12" t="inlineStr">
        <is>
          <t>c_LN</t>
        </is>
      </c>
      <c r="B12" t="n">
        <v>10</v>
      </c>
      <c r="C12" t="n">
        <v>100</v>
      </c>
      <c r="D12" t="n">
        <v>10</v>
      </c>
    </row>
    <row r="13">
      <c r="A13" t="inlineStr">
        <is>
          <t>c_LL</t>
        </is>
      </c>
      <c r="B13" t="n">
        <v>10</v>
      </c>
      <c r="C13" t="n">
        <v>100</v>
      </c>
      <c r="D13" t="n">
        <v>10</v>
      </c>
    </row>
    <row r="14">
      <c r="A14" t="inlineStr">
        <is>
          <t>rho</t>
        </is>
      </c>
      <c r="B14" s="2" t="n">
        <v>1000000000000</v>
      </c>
      <c r="C14" s="2" t="n">
        <v>1000000000000000</v>
      </c>
      <c r="D14" t="n">
        <v>100000000000000</v>
      </c>
    </row>
    <row r="15">
      <c r="A15" t="inlineStr">
        <is>
          <t>kappa_LL</t>
        </is>
      </c>
      <c r="B15" t="n">
        <v>0.1</v>
      </c>
      <c r="C15" t="n">
        <v>10</v>
      </c>
      <c r="D15" t="n">
        <v>1</v>
      </c>
    </row>
    <row r="16">
      <c r="A16" t="inlineStr">
        <is>
          <t>kappa_LN</t>
        </is>
      </c>
      <c r="B16" t="n">
        <v>0.1</v>
      </c>
      <c r="C16" t="n">
        <v>10</v>
      </c>
      <c r="D16" t="n">
        <v>1</v>
      </c>
    </row>
    <row r="17">
      <c r="A17" t="inlineStr">
        <is>
          <t>Z_iL</t>
        </is>
      </c>
      <c r="B17" t="n">
        <v>1.05</v>
      </c>
      <c r="C17" t="n">
        <v>1.2</v>
      </c>
      <c r="D17" t="n">
        <v>1.2</v>
      </c>
    </row>
    <row r="18">
      <c r="A18" t="inlineStr">
        <is>
          <t>Z_vL</t>
        </is>
      </c>
      <c r="B18" t="n">
        <v>1.05</v>
      </c>
      <c r="C18" t="n">
        <v>1.2</v>
      </c>
      <c r="D18" t="n">
        <v>1.05</v>
      </c>
    </row>
    <row r="19">
      <c r="A19" t="inlineStr">
        <is>
          <t>Q</t>
        </is>
      </c>
      <c r="B19" t="n">
        <v>0.5</v>
      </c>
      <c r="C19" t="n">
        <v>2</v>
      </c>
      <c r="D19" t="n">
        <v>1</v>
      </c>
    </row>
    <row r="20">
      <c r="A20" t="inlineStr">
        <is>
          <t>nu_i</t>
        </is>
      </c>
      <c r="B20" s="2" t="n">
        <v>1000000000000</v>
      </c>
      <c r="C20" s="2" t="n">
        <v>20000000000000</v>
      </c>
      <c r="D20" t="n">
        <v>5000000000000</v>
      </c>
    </row>
    <row r="21">
      <c r="A21" t="inlineStr">
        <is>
          <t>nu_v</t>
        </is>
      </c>
      <c r="B21" s="2" t="n">
        <v>1000000000000</v>
      </c>
      <c r="C21" s="2" t="n">
        <v>20000000000000</v>
      </c>
      <c r="D21" t="n">
        <v>5000000000000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D23"/>
  <sheetViews>
    <sheetView workbookViewId="0">
      <selection activeCell="A14" sqref="A14:XFD15"/>
    </sheetView>
  </sheetViews>
  <sheetFormatPr baseColWidth="10" defaultColWidth="8.83203125" defaultRowHeight="15"/>
  <cols>
    <col width="11.1640625" customWidth="1" min="1" max="1"/>
  </cols>
  <sheetData>
    <row r="2">
      <c r="A2" t="inlineStr">
        <is>
          <t>parameter</t>
        </is>
      </c>
      <c r="B2" t="inlineStr">
        <is>
          <t xml:space="preserve">min </t>
        </is>
      </c>
      <c r="C2" t="inlineStr">
        <is>
          <t>max</t>
        </is>
      </c>
      <c r="D2" t="inlineStr">
        <is>
          <t>seed</t>
        </is>
      </c>
    </row>
    <row r="4">
      <c r="A4" t="inlineStr">
        <is>
          <t>rho</t>
        </is>
      </c>
      <c r="B4" s="2" t="n">
        <v>1000000000000</v>
      </c>
      <c r="C4" s="2" t="n">
        <v>1000000000000000</v>
      </c>
      <c r="D4" t="n">
        <v>100000000000000</v>
      </c>
    </row>
    <row r="5">
      <c r="A5" t="inlineStr">
        <is>
          <t>Z_N</t>
        </is>
      </c>
      <c r="B5" t="n">
        <v>1.02</v>
      </c>
      <c r="C5" t="n">
        <v>1.2</v>
      </c>
      <c r="D5" t="n">
        <v>1.1</v>
      </c>
    </row>
    <row r="6">
      <c r="A6" t="inlineStr">
        <is>
          <t>Z_iL</t>
        </is>
      </c>
      <c r="B6" t="n">
        <v>1.05</v>
      </c>
      <c r="C6" t="n">
        <v>1.2</v>
      </c>
      <c r="D6" t="n">
        <v>1.2</v>
      </c>
    </row>
    <row r="7">
      <c r="A7" t="inlineStr">
        <is>
          <t>Z_vL</t>
        </is>
      </c>
      <c r="B7" t="n">
        <v>1.05</v>
      </c>
      <c r="C7" t="n">
        <v>1.2</v>
      </c>
      <c r="D7" t="n">
        <v>1.05</v>
      </c>
    </row>
    <row r="8">
      <c r="A8" t="inlineStr">
        <is>
          <t>Q</t>
        </is>
      </c>
      <c r="B8" t="n">
        <v>0.5</v>
      </c>
      <c r="C8" t="n">
        <v>2</v>
      </c>
      <c r="D8" t="n">
        <v>1</v>
      </c>
    </row>
    <row r="9">
      <c r="A9" t="inlineStr">
        <is>
          <t>E_m_i</t>
        </is>
      </c>
      <c r="B9" t="n">
        <v>0.2</v>
      </c>
      <c r="C9" t="n">
        <v>1.2</v>
      </c>
      <c r="D9" t="n">
        <v>0.95</v>
      </c>
    </row>
    <row r="10">
      <c r="A10" t="inlineStr">
        <is>
          <t>E_m_2i</t>
        </is>
      </c>
      <c r="B10" t="n">
        <v>0.2</v>
      </c>
      <c r="C10" t="n">
        <v>1.5</v>
      </c>
      <c r="D10" t="n">
        <v>0.8</v>
      </c>
    </row>
    <row r="11">
      <c r="A11" t="inlineStr">
        <is>
          <t>E_m_v</t>
        </is>
      </c>
      <c r="B11" t="n">
        <v>0.9</v>
      </c>
      <c r="C11" t="n">
        <v>1.5</v>
      </c>
      <c r="D11" t="n">
        <v>1.2</v>
      </c>
    </row>
    <row r="12">
      <c r="A12" t="inlineStr">
        <is>
          <t>E_b_2i</t>
        </is>
      </c>
      <c r="B12" t="n">
        <v>0.2</v>
      </c>
      <c r="C12" t="n">
        <v>2</v>
      </c>
      <c r="D12" t="n">
        <v>1.42</v>
      </c>
    </row>
    <row r="13">
      <c r="A13" t="inlineStr">
        <is>
          <t>E_b_3i</t>
        </is>
      </c>
      <c r="B13" t="n">
        <v>0.2</v>
      </c>
      <c r="C13" t="n">
        <v>2</v>
      </c>
      <c r="D13" t="n">
        <v>2</v>
      </c>
    </row>
    <row r="14">
      <c r="A14" t="inlineStr">
        <is>
          <t>nu_i</t>
        </is>
      </c>
      <c r="B14" s="2" t="n">
        <v>1000000000000</v>
      </c>
      <c r="C14" s="2" t="n">
        <v>20000000000000</v>
      </c>
      <c r="D14" t="n">
        <v>5000000000000</v>
      </c>
    </row>
    <row r="15">
      <c r="A15" t="inlineStr">
        <is>
          <t>nu_v</t>
        </is>
      </c>
      <c r="B15" s="2" t="n">
        <v>1000000000000</v>
      </c>
      <c r="C15" s="2" t="n">
        <v>20000000000000</v>
      </c>
      <c r="D15" t="n">
        <v>5000000000000</v>
      </c>
    </row>
    <row r="16">
      <c r="A16" t="inlineStr">
        <is>
          <t>epsilon_vL</t>
        </is>
      </c>
      <c r="B16" t="n">
        <v>0.005</v>
      </c>
      <c r="C16" t="n">
        <v>0.02</v>
      </c>
      <c r="D16" t="n">
        <v>0.0001</v>
      </c>
    </row>
    <row r="17">
      <c r="A17" t="inlineStr">
        <is>
          <t>epsilon_2i</t>
        </is>
      </c>
      <c r="B17" t="n">
        <v>0.001</v>
      </c>
      <c r="C17" t="n">
        <v>0.01</v>
      </c>
      <c r="D17" t="n">
        <v>0.00335</v>
      </c>
    </row>
    <row r="18">
      <c r="A18" t="inlineStr">
        <is>
          <t>tau_vL0</t>
        </is>
      </c>
      <c r="B18" t="n">
        <v>1e-06</v>
      </c>
      <c r="C18" t="n">
        <v>0.1</v>
      </c>
      <c r="D18" t="n">
        <v>0.000288327</v>
      </c>
    </row>
    <row r="19">
      <c r="A19" t="inlineStr">
        <is>
          <t>E_a_vL</t>
        </is>
      </c>
      <c r="B19" t="n">
        <v>0.3</v>
      </c>
      <c r="C19" t="n">
        <v>1.5</v>
      </c>
      <c r="D19" t="n">
        <v>1.19359</v>
      </c>
    </row>
    <row r="20">
      <c r="A20" t="inlineStr">
        <is>
          <t>c_LL</t>
        </is>
      </c>
      <c r="B20" t="n">
        <v>0.01</v>
      </c>
      <c r="C20" t="n">
        <v>100</v>
      </c>
      <c r="D20" t="n">
        <v>1</v>
      </c>
    </row>
    <row r="21">
      <c r="A21" t="inlineStr">
        <is>
          <t>kappa_LL</t>
        </is>
      </c>
      <c r="B21" t="n">
        <v>0.1</v>
      </c>
      <c r="C21" t="n">
        <v>10</v>
      </c>
      <c r="D21" t="n">
        <v>1</v>
      </c>
    </row>
    <row r="22">
      <c r="A22" t="inlineStr">
        <is>
          <t>c_LN</t>
        </is>
      </c>
      <c r="B22" t="n">
        <v>0.01</v>
      </c>
      <c r="C22" t="n">
        <v>100</v>
      </c>
      <c r="D22" t="n">
        <v>1</v>
      </c>
    </row>
    <row r="23">
      <c r="A23" t="inlineStr">
        <is>
          <t>kappa_LN</t>
        </is>
      </c>
      <c r="B23" t="n">
        <v>0.1</v>
      </c>
      <c r="C23" t="n">
        <v>10</v>
      </c>
      <c r="D2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2025-09-09T23:14:52Z</dcterms:created>
  <dcterms:modified xsi:type="dcterms:W3CDTF">2026-06-20T03:42:16Z</dcterms:modified>
  <cp:lastModifiedBy>Nasr Ghoniem</cp:lastModifiedBy>
</cp:coreProperties>
</file>