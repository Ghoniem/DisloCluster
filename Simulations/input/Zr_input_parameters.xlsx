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rubenescobar/Downloads/GW_Experimental/"/>
    </mc:Choice>
  </mc:AlternateContent>
  <xr:revisionPtr revIDLastSave="0" documentId="13_ncr:1_{4E573AB8-D1A7-DA4A-B989-494DF83D98EE}" xr6:coauthVersionLast="47" xr6:coauthVersionMax="47" xr10:uidLastSave="{00000000-0000-0000-0000-000000000000}"/>
  <bookViews>
    <workbookView xWindow="0" yWindow="660" windowWidth="30240" windowHeight="17240" activeTab="14" xr2:uid="{00000000-000D-0000-FFFF-FFFF00000000}"/>
  </bookViews>
  <sheets>
    <sheet name="Material_Environment" sheetId="1" r:id="rId1"/>
    <sheet name="Physical_Properties" sheetId="2" r:id="rId2"/>
    <sheet name="Model_Parameters" sheetId="3" r:id="rId3"/>
    <sheet name="Northwood" sheetId="4" state="hidden" r:id="rId4"/>
    <sheet name="Targets_A" sheetId="17" r:id="rId5"/>
    <sheet name="Targets_C" sheetId="18" r:id="rId6"/>
    <sheet name="Northwood_NEW" sheetId="11" r:id="rId7"/>
    <sheet name="Hellio" sheetId="5" r:id="rId8"/>
    <sheet name="Jostsons_NEW" sheetId="12" r:id="rId9"/>
    <sheet name="Jostons" sheetId="6" state="hidden" r:id="rId10"/>
    <sheet name="Gilbert" sheetId="7" state="hidden" r:id="rId11"/>
    <sheet name="Gilbert_NEW" sheetId="10" r:id="rId12"/>
    <sheet name="Cockeram" sheetId="16" r:id="rId13"/>
    <sheet name="Tournadre" sheetId="15" r:id="rId14"/>
    <sheet name="Kobylyansky" sheetId="14" r:id="rId15"/>
    <sheet name="Harte" sheetId="13" r:id="rId16"/>
    <sheet name="Params" sheetId="9" r:id="rId17"/>
    <sheet name="Targets_OLD" sheetId="8" state="hidden" r:id="rId18"/>
  </sheets>
  <definedNames>
    <definedName name="_xlnm._FilterDatabase" localSheetId="12" hidden="1">Cockeram!$A$1:$H$20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11" l="1"/>
  <c r="E45" i="11"/>
  <c r="E46" i="11"/>
  <c r="E43" i="11"/>
  <c r="A7" i="17"/>
  <c r="A8" i="17"/>
  <c r="A9" i="17"/>
  <c r="A10" i="17"/>
  <c r="A56" i="17"/>
  <c r="A55" i="17"/>
  <c r="A60" i="17"/>
  <c r="A59" i="17"/>
  <c r="A68" i="17"/>
  <c r="A66" i="17"/>
  <c r="A65" i="17"/>
  <c r="A69" i="17"/>
  <c r="A42" i="17"/>
  <c r="A44" i="17"/>
  <c r="A43" i="17"/>
  <c r="A46" i="17"/>
  <c r="D22" i="11"/>
  <c r="E25" i="11"/>
  <c r="E26" i="11"/>
  <c r="E27" i="11"/>
  <c r="E24" i="11"/>
  <c r="E40" i="11"/>
  <c r="E41" i="11"/>
  <c r="E42" i="11"/>
  <c r="E39" i="11"/>
  <c r="D39" i="11"/>
  <c r="D40" i="11"/>
  <c r="D41" i="11"/>
  <c r="D42" i="11"/>
  <c r="D24" i="11"/>
  <c r="D25" i="11"/>
  <c r="D26" i="11"/>
  <c r="D27" i="11"/>
  <c r="E36" i="11"/>
  <c r="E37" i="11"/>
  <c r="E38" i="11"/>
  <c r="E35" i="11"/>
  <c r="D35" i="11"/>
  <c r="D36" i="11"/>
  <c r="D37" i="11"/>
  <c r="D38" i="11"/>
  <c r="D44" i="11"/>
  <c r="D45" i="11"/>
  <c r="D46" i="11"/>
  <c r="D43" i="11"/>
  <c r="D28" i="11"/>
  <c r="D34" i="11"/>
  <c r="D15" i="11"/>
  <c r="D16" i="11"/>
  <c r="D17" i="11"/>
  <c r="D18" i="11"/>
  <c r="D19" i="11"/>
  <c r="D20" i="11"/>
  <c r="D21" i="11"/>
  <c r="D14" i="11"/>
  <c r="D13" i="11"/>
  <c r="D3" i="12"/>
  <c r="D4" i="12"/>
  <c r="D5" i="12"/>
  <c r="D6" i="12"/>
  <c r="D7" i="12"/>
  <c r="D8" i="12"/>
  <c r="D2" i="12"/>
  <c r="D8" i="4"/>
  <c r="B13" i="4"/>
  <c r="B14" i="4"/>
  <c r="B3" i="4"/>
  <c r="E5" i="7"/>
  <c r="E4" i="7"/>
  <c r="B5" i="7"/>
  <c r="B4" i="7"/>
  <c r="O9" i="7"/>
  <c r="O8" i="7"/>
  <c r="O7" i="7"/>
  <c r="O6" i="7"/>
  <c r="O5" i="7"/>
  <c r="O4" i="7"/>
  <c r="L6" i="7"/>
  <c r="L5" i="7"/>
  <c r="L4" i="7"/>
  <c r="C10" i="6"/>
  <c r="C9" i="6"/>
  <c r="C8" i="6"/>
  <c r="C7" i="6"/>
  <c r="C6" i="6"/>
  <c r="C5" i="6"/>
  <c r="C4" i="6"/>
  <c r="F31" i="5"/>
  <c r="D31" i="5"/>
  <c r="C31" i="5"/>
  <c r="F30" i="5"/>
  <c r="D30" i="5"/>
  <c r="C30" i="5"/>
  <c r="F29" i="5"/>
  <c r="D29" i="5"/>
  <c r="C29" i="5"/>
  <c r="F26" i="5"/>
  <c r="F25" i="5"/>
  <c r="D25" i="5"/>
  <c r="C25" i="5"/>
  <c r="F24" i="5"/>
  <c r="D24" i="5"/>
  <c r="C24" i="5"/>
  <c r="F23" i="5"/>
  <c r="D23" i="5"/>
  <c r="C23" i="5"/>
  <c r="D21" i="5"/>
  <c r="C21" i="5"/>
  <c r="D20" i="5"/>
  <c r="C20" i="5"/>
  <c r="G19" i="5"/>
  <c r="F19" i="5"/>
  <c r="D19" i="5"/>
  <c r="C19" i="5"/>
  <c r="G18" i="5"/>
  <c r="F18" i="5"/>
  <c r="D18" i="5"/>
  <c r="C18" i="5"/>
  <c r="G17" i="5"/>
  <c r="F17" i="5"/>
  <c r="D17" i="5"/>
  <c r="C17" i="5"/>
  <c r="D15" i="5"/>
  <c r="C15" i="5"/>
  <c r="D14" i="5"/>
  <c r="C14" i="5"/>
  <c r="G13" i="5"/>
  <c r="F13" i="5"/>
  <c r="D13" i="5"/>
  <c r="C13" i="5"/>
  <c r="G12" i="5"/>
  <c r="F12" i="5"/>
  <c r="D12" i="5"/>
  <c r="C12" i="5"/>
  <c r="G11" i="5"/>
  <c r="F11" i="5"/>
  <c r="D11" i="5"/>
  <c r="C11" i="5"/>
  <c r="F9" i="5"/>
  <c r="F8" i="5"/>
  <c r="F7" i="5"/>
  <c r="F6" i="5"/>
  <c r="F5" i="5"/>
  <c r="F4" i="5"/>
  <c r="D14" i="4"/>
  <c r="D13" i="4"/>
  <c r="D11" i="4"/>
  <c r="D10" i="4"/>
  <c r="D9" i="4"/>
  <c r="D7" i="4"/>
  <c r="D6" i="4"/>
  <c r="D5" i="4"/>
  <c r="D4" i="4"/>
  <c r="D3" i="4"/>
</calcChain>
</file>

<file path=xl/sharedStrings.xml><?xml version="1.0" encoding="utf-8"?>
<sst xmlns="http://schemas.openxmlformats.org/spreadsheetml/2006/main" count="843" uniqueCount="268">
  <si>
    <t>Notation</t>
  </si>
  <si>
    <t>Parameter</t>
  </si>
  <si>
    <t>Units</t>
  </si>
  <si>
    <t>Value</t>
  </si>
  <si>
    <t>Description</t>
  </si>
  <si>
    <t>rho</t>
  </si>
  <si>
    <t>dislocation density</t>
  </si>
  <si>
    <t>m^-2</t>
  </si>
  <si>
    <t>Network dislocation density</t>
  </si>
  <si>
    <t>d</t>
  </si>
  <si>
    <t>grain diameter</t>
  </si>
  <si>
    <t>m</t>
  </si>
  <si>
    <t>Average grain size</t>
  </si>
  <si>
    <t>r_p</t>
  </si>
  <si>
    <t>precipitate radius</t>
  </si>
  <si>
    <t>Average precipitate radius</t>
  </si>
  <si>
    <t>N_P</t>
  </si>
  <si>
    <t>precipitate number density</t>
  </si>
  <si>
    <t>m^-3</t>
  </si>
  <si>
    <t>Precipitate number density</t>
  </si>
  <si>
    <t>T</t>
  </si>
  <si>
    <t>Irradiation temperature</t>
  </si>
  <si>
    <t>K</t>
  </si>
  <si>
    <t>G</t>
  </si>
  <si>
    <t>Irradiation dose rate</t>
  </si>
  <si>
    <t>dpa.s^-1</t>
  </si>
  <si>
    <t>Damage rate</t>
  </si>
  <si>
    <t>N_C</t>
  </si>
  <si>
    <t>Nucleated void (cavity) density (if needed)</t>
  </si>
  <si>
    <t>Void nucleation density</t>
  </si>
  <si>
    <t>N_iL</t>
  </si>
  <si>
    <t>Nucleated interstitial loop density (if needed)</t>
  </si>
  <si>
    <t>Loop nucleation density</t>
  </si>
  <si>
    <t>Property</t>
  </si>
  <si>
    <t>a</t>
  </si>
  <si>
    <t>lattice parameter</t>
  </si>
  <si>
    <t>Crystal lattice parameter</t>
  </si>
  <si>
    <t>b_a</t>
  </si>
  <si>
    <t>magnitude of Burgers vector along a-direction</t>
  </si>
  <si>
    <t>Burgers vector a-direction</t>
  </si>
  <si>
    <t>b_c</t>
  </si>
  <si>
    <t>magnitude of Burgers vector along c-direction</t>
  </si>
  <si>
    <t>Burgers vector c-direction</t>
  </si>
  <si>
    <t>E_m_i</t>
  </si>
  <si>
    <t>migration energy of single interstitials</t>
  </si>
  <si>
    <t>eV</t>
  </si>
  <si>
    <t>Interstitial migration barrier</t>
  </si>
  <si>
    <t>E_m_v</t>
  </si>
  <si>
    <t>migration energy of single vacancy</t>
  </si>
  <si>
    <t>Vacancy migration barrier</t>
  </si>
  <si>
    <t>E_F_v</t>
  </si>
  <si>
    <t>formation energy of a vacancy</t>
  </si>
  <si>
    <t>Vacancy formation energy</t>
  </si>
  <si>
    <t>E_F_i</t>
  </si>
  <si>
    <t>formation energy of an interstitial</t>
  </si>
  <si>
    <t>Interstitial formation energy</t>
  </si>
  <si>
    <t>gamma</t>
  </si>
  <si>
    <t>surface energy</t>
  </si>
  <si>
    <t>eV.m^-2</t>
  </si>
  <si>
    <t>Surface energy</t>
  </si>
  <si>
    <t>gamma_sf</t>
  </si>
  <si>
    <t>stacking fault energy</t>
  </si>
  <si>
    <t>Stacking fault energy</t>
  </si>
  <si>
    <t>nu_i</t>
  </si>
  <si>
    <t>interstitial vibration frequency</t>
  </si>
  <si>
    <t>s^-1</t>
  </si>
  <si>
    <t>Interstitial attempt frequency</t>
  </si>
  <si>
    <t>nu_v</t>
  </si>
  <si>
    <t>vacancy vibration frequency</t>
  </si>
  <si>
    <t>Vacancy attempt frequency</t>
  </si>
  <si>
    <t>Omega</t>
  </si>
  <si>
    <t>atomic volume</t>
  </si>
  <si>
    <t>m^3</t>
  </si>
  <si>
    <t>Atomic volume</t>
  </si>
  <si>
    <t>z_c</t>
  </si>
  <si>
    <t>Number of unstable sites around a vacancy</t>
  </si>
  <si>
    <t>–</t>
  </si>
  <si>
    <t>Coordination number</t>
  </si>
  <si>
    <t>epsilon_vL</t>
  </si>
  <si>
    <t>Collision cascade efficiency to generate a vacancy loop</t>
  </si>
  <si>
    <t>Vacancy loop cascade efficiency</t>
  </si>
  <si>
    <t>epsilon_2i</t>
  </si>
  <si>
    <t>Collision cascade efficiency to generate a di-interstial</t>
  </si>
  <si>
    <t>Di-interstitial cascade efficiency</t>
  </si>
  <si>
    <t>epsilon_3i</t>
  </si>
  <si>
    <t>Collision cascade efficiency to generate a tri-interstitial</t>
  </si>
  <si>
    <t>Tri-interstitial cascade efficiency</t>
  </si>
  <si>
    <t>M</t>
  </si>
  <si>
    <t>Average Schmidt factor for tensile loading</t>
  </si>
  <si>
    <t>Schmidt factor</t>
  </si>
  <si>
    <t>Network dislocation bias factor for interstitials</t>
  </si>
  <si>
    <t>Dislocation bias for interstitial absorption</t>
  </si>
  <si>
    <t>Interstitial dislocation loop bias factor for interstitials</t>
  </si>
  <si>
    <t>Interstitial loop bias for interstitial absorption</t>
  </si>
  <si>
    <t>Vacancy loop bias factor for interstitials</t>
  </si>
  <si>
    <t>Vacancy loop bias for interstitial absorption</t>
  </si>
  <si>
    <t>Q</t>
  </si>
  <si>
    <t>Absorption efficiency for &lt;c&gt; loops</t>
  </si>
  <si>
    <t>Loop growth efficiency factor</t>
  </si>
  <si>
    <t>A_a</t>
  </si>
  <si>
    <t>Strain factor in &lt;a&gt; direction</t>
  </si>
  <si>
    <t>Strain tensor component a-direction</t>
  </si>
  <si>
    <t>A_c</t>
  </si>
  <si>
    <t>Strain factor in &lt;c&gt; direction</t>
  </si>
  <si>
    <t>Strain tensor component c-direction</t>
  </si>
  <si>
    <t>tau_vL</t>
  </si>
  <si>
    <t>lifetime of a vacancy loop due to thermal annealing</t>
  </si>
  <si>
    <t>s</t>
  </si>
  <si>
    <t>Vacancy loop thermal stability time</t>
  </si>
  <si>
    <t>tau_avL</t>
  </si>
  <si>
    <t>lifetime of aligned vacancy loop due to thermal annealing</t>
  </si>
  <si>
    <t>Aligned vacancy loop thermal stability time</t>
  </si>
  <si>
    <t>alpha_i</t>
  </si>
  <si>
    <t>Strength coefficient for a small interstitial cluster</t>
  </si>
  <si>
    <t>Interstitial obstacle strength</t>
  </si>
  <si>
    <t>alpha_v</t>
  </si>
  <si>
    <t>Strength coefficient for a small vacancy cluster</t>
  </si>
  <si>
    <t>Vacancy obstacle strength</t>
  </si>
  <si>
    <t>alpha_iL</t>
  </si>
  <si>
    <t>Average strength coefficient for an interstitial loop</t>
  </si>
  <si>
    <t>Interstitial loop obstacle strength</t>
  </si>
  <si>
    <t>alpha_aiL</t>
  </si>
  <si>
    <t>Average strength coefficient for an aligned interstitial loop</t>
  </si>
  <si>
    <t>Aligned interstitial loop obstacle strength</t>
  </si>
  <si>
    <t>alpha_vL</t>
  </si>
  <si>
    <t>Average strength coefficient for a vacancy loop</t>
  </si>
  <si>
    <t>Vacancy loop obstacle strength</t>
  </si>
  <si>
    <t>alpha_avL</t>
  </si>
  <si>
    <t>Average strength coefficient for an aligned vacancy loop</t>
  </si>
  <si>
    <t>Aligned vacancy loop obstacle strength</t>
  </si>
  <si>
    <t>alpha_N</t>
  </si>
  <si>
    <t>Average strength coefficient for network dislocations</t>
  </si>
  <si>
    <t>Network dislocation obstacle strength</t>
  </si>
  <si>
    <t>Increment in mobile dislocation line length per forest dislocation</t>
  </si>
  <si>
    <t>Dislocation multiplication factor</t>
  </si>
  <si>
    <t>conversion rate of mobile to forest dislocations</t>
  </si>
  <si>
    <t>Dislocation immobilization rate</t>
  </si>
  <si>
    <t>r_m</t>
  </si>
  <si>
    <t>recovery rate of mobile dislocations by cross-slip</t>
  </si>
  <si>
    <t>Mobile dislocation recovery rate</t>
  </si>
  <si>
    <t>r_f</t>
  </si>
  <si>
    <t>recovery rate of forest dislocations by cross-slip</t>
  </si>
  <si>
    <t>Forest dislocation recovery rate</t>
  </si>
  <si>
    <t>Pa</t>
  </si>
  <si>
    <t>uniaxial applied stress</t>
  </si>
  <si>
    <t>sigma_n</t>
  </si>
  <si>
    <t>normal stress</t>
  </si>
  <si>
    <t>sigma_h</t>
  </si>
  <si>
    <t>hydrostatic stress</t>
  </si>
  <si>
    <t>hydostatic stress</t>
  </si>
  <si>
    <t>E_b_2i</t>
  </si>
  <si>
    <t>binding energy of a diinterstitial</t>
  </si>
  <si>
    <t>E_b_3i</t>
  </si>
  <si>
    <t>binding energy of a triinterstitial</t>
  </si>
  <si>
    <t>mu</t>
  </si>
  <si>
    <t>shear modulus</t>
  </si>
  <si>
    <t>nu_poisson</t>
  </si>
  <si>
    <t>Poisson ratio</t>
  </si>
  <si>
    <t>r_cap_vL</t>
  </si>
  <si>
    <t>Capture radius around vacancy loop</t>
  </si>
  <si>
    <t>capture radius around vacancy loop</t>
  </si>
  <si>
    <t>Z_N</t>
  </si>
  <si>
    <t>Z_iL</t>
  </si>
  <si>
    <t>Z_vL</t>
  </si>
  <si>
    <t>E_m_2i</t>
  </si>
  <si>
    <t>migration energy of di/tri  interstitials</t>
  </si>
  <si>
    <t>di/tri Interstitial migration barrier</t>
  </si>
  <si>
    <t>D_i_0</t>
  </si>
  <si>
    <t>m^2/s</t>
  </si>
  <si>
    <t>interstitial diffusion pre-factor</t>
  </si>
  <si>
    <t>D_v_0</t>
  </si>
  <si>
    <t>vacancy diffusion prefactor</t>
  </si>
  <si>
    <t>recom</t>
  </si>
  <si>
    <t>recombination radius factor</t>
  </si>
  <si>
    <t>Temperature ($^\circ$C)</t>
  </si>
  <si>
    <t>Fluence (m$^{-2}$)</t>
  </si>
  <si>
    <t>Dose (dpa)</t>
  </si>
  <si>
    <t>Loop density ($^{-3}$)</t>
  </si>
  <si>
    <t>Loop Size (nm)</t>
  </si>
  <si>
    <t>Reference</t>
  </si>
  <si>
    <t>Northwood, D. O. Atomic Energy</t>
  </si>
  <si>
    <t>Rev. 1977, 15, 547–610.</t>
  </si>
  <si>
    <t>pure</t>
  </si>
  <si>
    <t>oxygen</t>
  </si>
  <si>
    <t>TIME, S</t>
  </si>
  <si>
    <t>DENSITY, E20</t>
  </si>
  <si>
    <t>SIZE, NM</t>
  </si>
  <si>
    <t>Electron Irradiation (Hellio JNM 159(1988)368).</t>
  </si>
  <si>
    <t>n&gt;&gt; dpa</t>
  </si>
  <si>
    <t>dpa rate=</t>
  </si>
  <si>
    <t>dpa/s</t>
  </si>
  <si>
    <t>Neutrons</t>
  </si>
  <si>
    <t>electrons</t>
  </si>
  <si>
    <t>dpa</t>
  </si>
  <si>
    <t>size nm</t>
  </si>
  <si>
    <t>density, m^-3</t>
  </si>
  <si>
    <t>Irradiation temperature (K)</t>
  </si>
  <si>
    <t>Fast neutron fluence (&gt;1 MeV) (neutrons m^-2)</t>
  </si>
  <si>
    <t>Loop concentration (m^-3)</t>
  </si>
  <si>
    <t>Average loop diameter (nm)</t>
  </si>
  <si>
    <t>Interstitial loops (%)</t>
  </si>
  <si>
    <t>23–33</t>
  </si>
  <si>
    <t>9–33</t>
  </si>
  <si>
    <t>37–55</t>
  </si>
  <si>
    <t>47–63</t>
  </si>
  <si>
    <t>Jostons JNM66(1977)236 &amp; JNM68(1977)267</t>
  </si>
  <si>
    <t>Temperature (°C)</t>
  </si>
  <si>
    <t>0.2 dpa</t>
  </si>
  <si>
    <t>2 dpa</t>
  </si>
  <si>
    <t>Density ($m^{-3}$</t>
  </si>
  <si>
    <t>log(density)</t>
  </si>
  <si>
    <t>T (K)</t>
  </si>
  <si>
    <t>parameter</t>
  </si>
  <si>
    <t>max</t>
  </si>
  <si>
    <t>N_L (1/m^3)</t>
  </si>
  <si>
    <t>d (nm)</t>
  </si>
  <si>
    <t>Temperature</t>
  </si>
  <si>
    <t>Temperature (K)</t>
  </si>
  <si>
    <t>Material/Alloy</t>
  </si>
  <si>
    <t>Irradiation Source</t>
  </si>
  <si>
    <t>Temp. (K)</t>
  </si>
  <si>
    <t>Loop Type</t>
  </si>
  <si>
    <t>Number Density (m^-3)</t>
  </si>
  <si>
    <t>Mean Size (nm)</t>
  </si>
  <si>
    <t>Source</t>
  </si>
  <si>
    <t>Zr</t>
  </si>
  <si>
    <t>Neutron</t>
  </si>
  <si>
    <t>&lt;a&gt;</t>
  </si>
  <si>
    <t>Gilbert et al., 1979</t>
  </si>
  <si>
    <t>Zr-2</t>
  </si>
  <si>
    <t>Zr-2.5</t>
  </si>
  <si>
    <t>Northwood et al., 1977</t>
  </si>
  <si>
    <t>Northwood et al., 1976</t>
  </si>
  <si>
    <t>Northwood et al., 1979</t>
  </si>
  <si>
    <t>Jostsons et al., 1977</t>
  </si>
  <si>
    <t>&lt;c&gt;</t>
  </si>
  <si>
    <t>Harte et al., 2017</t>
  </si>
  <si>
    <t>Kobylyansky et al., 2008</t>
  </si>
  <si>
    <t>E635</t>
  </si>
  <si>
    <t>NSF</t>
  </si>
  <si>
    <t>Zr-4</t>
  </si>
  <si>
    <t>Tournadre et al., 2012</t>
  </si>
  <si>
    <t>Cockeram, 2014</t>
  </si>
  <si>
    <t>Fluence (n/m^2)</t>
  </si>
  <si>
    <t>Zr-?</t>
  </si>
  <si>
    <t>2.167 dpa</t>
  </si>
  <si>
    <t>Northwood et al., 1974</t>
  </si>
  <si>
    <t>rho_300</t>
  </si>
  <si>
    <t>network dislocation density anchor @300 K</t>
  </si>
  <si>
    <t>rho_600</t>
  </si>
  <si>
    <t>network dislocation density anchor @600 K</t>
  </si>
  <si>
    <t>delta_DAD</t>
  </si>
  <si>
    <t>c_LL_a</t>
  </si>
  <si>
    <t>c_LN_a</t>
  </si>
  <si>
    <t>c_LL_c</t>
  </si>
  <si>
    <t>c_LN_c</t>
  </si>
  <si>
    <t>n_vL_nuc</t>
  </si>
  <si>
    <t>tau_vL0</t>
  </si>
  <si>
    <t>E_a_vL</t>
  </si>
  <si>
    <t>delta_DAD_i_300</t>
  </si>
  <si>
    <t>delta_DAD_i_600</t>
  </si>
  <si>
    <t>min</t>
  </si>
  <si>
    <t>nominal</t>
  </si>
  <si>
    <t>log_searched</t>
  </si>
  <si>
    <t>epsilon_iL</t>
  </si>
  <si>
    <t>n_iL_nuc</t>
  </si>
  <si>
    <t>c_rhoN</t>
  </si>
  <si>
    <t>k_rhoN_rec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</si>
</sst>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E+00"/>
    <numFmt numFmtId="165" formatCode="0.0%"/>
    <numFmt numFmtId="166" formatCode="0.000"/>
    <numFmt numFmtId="167" formatCode="0.0000"/>
    <numFmt numFmtId="168" formatCode="0.00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7"/>
      <color rgb="FF800000"/>
      <name val="Consolas"/>
      <family val="3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7"/>
      <color rgb="FFABB2BF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theme="1"/>
      </top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1" fontId="0" fillId="3" borderId="0" xfId="0" applyNumberFormat="1" applyFill="1"/>
    <xf numFmtId="0" fontId="0" fillId="0" borderId="0" xfId="0" applyAlignment="1">
      <alignment wrapText="1"/>
    </xf>
    <xf numFmtId="11" fontId="0" fillId="0" borderId="0" xfId="0" applyNumberFormat="1" applyAlignment="1">
      <alignment wrapText="1"/>
    </xf>
    <xf numFmtId="0" fontId="2" fillId="0" borderId="0" xfId="0" applyFont="1" applyAlignment="1">
      <alignment vertical="center"/>
    </xf>
    <xf numFmtId="165" fontId="0" fillId="0" borderId="0" xfId="0" applyNumberFormat="1"/>
    <xf numFmtId="165" fontId="0" fillId="0" borderId="0" xfId="0" applyNumberFormat="1" applyAlignment="1">
      <alignment wrapText="1"/>
    </xf>
    <xf numFmtId="2" fontId="0" fillId="0" borderId="0" xfId="0" applyNumberFormat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/>
    <xf numFmtId="166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1" fontId="4" fillId="4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166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1" fontId="4" fillId="0" borderId="1" xfId="0" applyNumberFormat="1" applyFont="1" applyBorder="1" applyAlignment="1">
      <alignment horizontal="center"/>
    </xf>
    <xf numFmtId="2" fontId="4" fillId="4" borderId="1" xfId="0" applyNumberFormat="1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4" fillId="4" borderId="2" xfId="0" applyFont="1" applyFill="1" applyBorder="1"/>
    <xf numFmtId="0" fontId="4" fillId="0" borderId="2" xfId="0" applyFont="1" applyBorder="1"/>
    <xf numFmtId="0" fontId="3" fillId="0" borderId="3" xfId="0" applyFont="1" applyBorder="1" applyAlignment="1">
      <alignment horizontal="left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11" fontId="4" fillId="0" borderId="3" xfId="0" applyNumberFormat="1" applyFont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4" fillId="4" borderId="3" xfId="0" applyFont="1" applyFill="1" applyBorder="1"/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11" fontId="4" fillId="4" borderId="3" xfId="0" applyNumberFormat="1" applyFont="1" applyFill="1" applyBorder="1" applyAlignment="1">
      <alignment horizontal="center"/>
    </xf>
    <xf numFmtId="167" fontId="4" fillId="4" borderId="1" xfId="0" applyNumberFormat="1" applyFont="1" applyFill="1" applyBorder="1" applyAlignment="1">
      <alignment horizontal="center"/>
    </xf>
    <xf numFmtId="168" fontId="4" fillId="4" borderId="1" xfId="0" applyNumberFormat="1" applyFont="1" applyFill="1" applyBorder="1" applyAlignment="1">
      <alignment horizontal="center"/>
    </xf>
    <xf numFmtId="0" fontId="4" fillId="4" borderId="8" xfId="0" applyFont="1" applyFill="1" applyBorder="1"/>
    <xf numFmtId="11" fontId="0" fillId="0" borderId="0" xfId="0" applyNumberFormat="1" applyAlignment="1">
      <alignment horizontal="center"/>
    </xf>
    <xf numFmtId="0" fontId="4" fillId="4" borderId="9" xfId="0" applyFont="1" applyFill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0" fontId="3" fillId="0" borderId="10" xfId="0" applyFont="1" applyBorder="1" applyAlignment="1">
      <alignment horizontal="left"/>
    </xf>
    <xf numFmtId="166" fontId="5" fillId="0" borderId="0" xfId="0" applyNumberFormat="1" applyFont="1" applyAlignment="1">
      <alignment horizontal="center"/>
    </xf>
    <xf numFmtId="11" fontId="5" fillId="0" borderId="0" xfId="0" applyNumberFormat="1" applyFont="1" applyAlignment="1">
      <alignment horizontal="center"/>
    </xf>
    <xf numFmtId="0" fontId="4" fillId="0" borderId="4" xfId="0" applyFont="1" applyBorder="1"/>
    <xf numFmtId="0" fontId="4" fillId="4" borderId="11" xfId="0" applyFont="1" applyFill="1" applyBorder="1"/>
    <xf numFmtId="168" fontId="5" fillId="0" borderId="0" xfId="0" applyNumberFormat="1" applyFont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167" fontId="4" fillId="0" borderId="3" xfId="0" applyNumberFormat="1" applyFont="1" applyBorder="1" applyAlignment="1">
      <alignment horizontal="center"/>
    </xf>
    <xf numFmtId="0" fontId="5" fillId="0" borderId="9" xfId="0" applyFont="1" applyBorder="1"/>
    <xf numFmtId="0" fontId="4" fillId="0" borderId="0" xfId="0" applyFont="1" applyAlignment="1">
      <alignment horizontal="left"/>
    </xf>
    <xf numFmtId="0" fontId="5" fillId="0" borderId="10" xfId="0" applyFont="1" applyBorder="1"/>
    <xf numFmtId="0" fontId="4" fillId="4" borderId="0" xfId="0" applyFont="1" applyFill="1" applyAlignment="1">
      <alignment horizontal="left"/>
    </xf>
    <xf numFmtId="0" fontId="5" fillId="0" borderId="5" xfId="0" applyFont="1" applyBorder="1"/>
    <xf numFmtId="0" fontId="5" fillId="0" borderId="1" xfId="0" applyFont="1" applyBorder="1"/>
    <xf numFmtId="0" fontId="4" fillId="0" borderId="0" xfId="0" applyFont="1"/>
    <xf numFmtId="0" fontId="5" fillId="0" borderId="3" xfId="0" applyFont="1" applyBorder="1"/>
    <xf numFmtId="0" fontId="4" fillId="4" borderId="0" xfId="0" applyFont="1" applyFill="1"/>
    <xf numFmtId="0" fontId="5" fillId="0" borderId="12" xfId="0" applyFont="1" applyBorder="1"/>
    <xf numFmtId="11" fontId="5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1" fontId="5" fillId="0" borderId="3" xfId="0" applyNumberFormat="1" applyFont="1" applyBorder="1" applyAlignment="1">
      <alignment horizontal="center"/>
    </xf>
    <xf numFmtId="0" fontId="4" fillId="4" borderId="0" xfId="0" applyFont="1" applyFill="1" applyAlignment="1">
      <alignment horizontal="center"/>
    </xf>
    <xf numFmtId="11" fontId="5" fillId="0" borderId="12" xfId="0" applyNumberFormat="1" applyFont="1" applyBorder="1" applyAlignment="1">
      <alignment horizontal="center"/>
    </xf>
    <xf numFmtId="168" fontId="5" fillId="0" borderId="1" xfId="0" applyNumberFormat="1" applyFont="1" applyBorder="1" applyAlignment="1">
      <alignment horizontal="center"/>
    </xf>
    <xf numFmtId="167" fontId="4" fillId="0" borderId="0" xfId="0" applyNumberFormat="1" applyFont="1" applyAlignment="1">
      <alignment horizontal="center"/>
    </xf>
    <xf numFmtId="168" fontId="5" fillId="0" borderId="3" xfId="0" applyNumberFormat="1" applyFont="1" applyBorder="1" applyAlignment="1">
      <alignment horizontal="center"/>
    </xf>
    <xf numFmtId="167" fontId="4" fillId="4" borderId="0" xfId="0" applyNumberFormat="1" applyFont="1" applyFill="1" applyAlignment="1">
      <alignment horizontal="center"/>
    </xf>
    <xf numFmtId="168" fontId="5" fillId="0" borderId="12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1" fontId="4" fillId="0" borderId="0" xfId="0" applyNumberFormat="1" applyFont="1" applyAlignment="1">
      <alignment horizontal="center"/>
    </xf>
    <xf numFmtId="11" fontId="4" fillId="4" borderId="0" xfId="0" applyNumberFormat="1" applyFont="1" applyFill="1" applyAlignment="1">
      <alignment horizontal="center"/>
    </xf>
    <xf numFmtId="0" fontId="5" fillId="0" borderId="2" xfId="0" applyFont="1" applyBorder="1"/>
    <xf numFmtId="0" fontId="5" fillId="0" borderId="11" xfId="0" applyFont="1" applyBorder="1"/>
    <xf numFmtId="0" fontId="5" fillId="0" borderId="4" xfId="0" applyFont="1" applyBorder="1"/>
    <xf numFmtId="0" fontId="3" fillId="0" borderId="7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11" fontId="4" fillId="4" borderId="12" xfId="0" applyNumberFormat="1" applyFont="1" applyFill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167" fontId="5" fillId="0" borderId="1" xfId="0" applyNumberFormat="1" applyFont="1" applyBorder="1" applyAlignment="1">
      <alignment horizontal="center"/>
    </xf>
    <xf numFmtId="0" fontId="4" fillId="0" borderId="11" xfId="0" applyFont="1" applyBorder="1"/>
    <xf numFmtId="0" fontId="3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66" fontId="5" fillId="0" borderId="12" xfId="0" applyNumberFormat="1" applyFont="1" applyBorder="1" applyAlignment="1">
      <alignment horizontal="center"/>
    </xf>
    <xf numFmtId="0" fontId="7" fillId="0" borderId="0" xfId="0" applyFont="1"/>
  </cellXfs>
  <cellStyles count="1"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border outline="0">
        <right style="thin">
          <color auto="1"/>
        </right>
        <top style="thin">
          <color auto="1"/>
        </top>
      </border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5" formatCode="0.00E+00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theme="0" tint="-0.14999847407452621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5" formatCode="0.00E+00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8" formatCode="0.00000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374650</xdr:colOff>
      <xdr:row>6</xdr:row>
      <xdr:rowOff>107950</xdr:rowOff>
    </xdr:from>
    <xdr:to>
      <xdr:col>41</xdr:col>
      <xdr:colOff>88900</xdr:colOff>
      <xdr:row>39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455AB9-EF79-DCE1-27CD-C84E1FD65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66650" y="1212850"/>
          <a:ext cx="12515850" cy="604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177800</xdr:colOff>
      <xdr:row>39</xdr:row>
      <xdr:rowOff>57150</xdr:rowOff>
    </xdr:from>
    <xdr:to>
      <xdr:col>41</xdr:col>
      <xdr:colOff>425450</xdr:colOff>
      <xdr:row>73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708225C-B9C3-876B-1AA2-6D0948D72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79400" y="7239000"/>
          <a:ext cx="12439650" cy="628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76</xdr:row>
      <xdr:rowOff>0</xdr:rowOff>
    </xdr:from>
    <xdr:to>
      <xdr:col>44</xdr:col>
      <xdr:colOff>196850</xdr:colOff>
      <xdr:row>99</xdr:row>
      <xdr:rowOff>82550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88AE8A8-23A9-1DDA-29F3-41186932B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20800" y="13995400"/>
          <a:ext cx="12998450" cy="431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0</xdr:colOff>
      <xdr:row>18</xdr:row>
      <xdr:rowOff>0</xdr:rowOff>
    </xdr:from>
    <xdr:to>
      <xdr:col>49</xdr:col>
      <xdr:colOff>603250</xdr:colOff>
      <xdr:row>54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D8B7E2-0083-263A-EFE3-3B3CCA69F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78400" y="3314700"/>
          <a:ext cx="12795250" cy="664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D8023A-95B0-D04C-B619-3A5DDE339FA3}" name="Table5" displayName="Table5" ref="A1:E74" totalsRowShown="0" headerRowDxfId="43" dataDxfId="41" headerRowBorderDxfId="42" tableBorderDxfId="40" totalsRowBorderDxfId="39">
  <autoFilter ref="A1:E74" xr:uid="{E0D8023A-95B0-D04C-B619-3A5DDE339FA3}"/>
  <sortState xmlns:xlrd2="http://schemas.microsoft.com/office/spreadsheetml/2017/richdata2" ref="A2:E74">
    <sortCondition ref="A1:A74"/>
  </sortState>
  <tableColumns count="5">
    <tableColumn id="1" xr3:uid="{7B3077D7-FC98-F347-968B-94D515B68F24}" name="Temp. (K)" dataDxfId="38"/>
    <tableColumn id="2" xr3:uid="{E78AE6C2-143D-D140-8E7F-DC5837BFF0AB}" name="Dose (dpa)" dataDxfId="37"/>
    <tableColumn id="3" xr3:uid="{14DC1A19-EF19-2849-9BFC-7538F64EB847}" name="Number Density (m^-3)" dataDxfId="36"/>
    <tableColumn id="4" xr3:uid="{2E8ADB70-DCD1-E143-AA4D-640BF03028C5}" name="Mean Size (nm)" dataDxfId="35"/>
    <tableColumn id="5" xr3:uid="{ACD147F5-C0A5-DD42-8A5B-4EEDDC4545FF}" name="Source" dataDxfId="3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E7C3FC-D278-2049-9947-C323A81CDDD9}" name="Table4" displayName="Table4" ref="A1:E6" totalsRowShown="0" headerRowDxfId="33" headerRowBorderDxfId="32" tableBorderDxfId="31" totalsRowBorderDxfId="30">
  <autoFilter ref="A1:E6" xr:uid="{E0E7C3FC-D278-2049-9947-C323A81CDDD9}"/>
  <tableColumns count="5">
    <tableColumn id="1" xr3:uid="{7F207062-8244-B846-A3A3-CECA17A4A980}" name="Temp. (K)" dataDxfId="29"/>
    <tableColumn id="2" xr3:uid="{61288784-2BFD-D44D-B544-D54A0759A6D5}" name="Dose (dpa)" dataDxfId="28"/>
    <tableColumn id="3" xr3:uid="{FDC81D49-EE47-AB42-9FC0-24396717D5EA}" name="Number Density (m^-3)" dataDxfId="27"/>
    <tableColumn id="4" xr3:uid="{9B8E88A2-E2A4-934B-AAC0-46E2E0B44670}" name="Mean Size (nm)" dataDxfId="26"/>
    <tableColumn id="5" xr3:uid="{2D0447F9-4C77-7841-AB4B-5097E217B464}" name="Source" dataDxfId="25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B4AE8B-F446-E448-BC22-6273FA759752}" name="Table3" displayName="Table3" ref="A1:I46" totalsRowShown="0" headerRowDxfId="24" dataDxfId="22" headerRowBorderDxfId="23" tableBorderDxfId="21">
  <autoFilter ref="A1:I46" xr:uid="{3EB4AE8B-F446-E448-BC22-6273FA759752}"/>
  <sortState xmlns:xlrd2="http://schemas.microsoft.com/office/spreadsheetml/2017/richdata2" ref="A2:I46">
    <sortCondition ref="E1:E46"/>
  </sortState>
  <tableColumns count="9">
    <tableColumn id="1" xr3:uid="{7882E621-A0C2-4D4C-87E7-2945729D3087}" name="Material/Alloy" dataDxfId="20"/>
    <tableColumn id="2" xr3:uid="{662B1229-A7BE-9C4F-A3A1-3F31762640A2}" name="Irradiation Source" dataDxfId="19"/>
    <tableColumn id="9" xr3:uid="{99E4A094-DBA7-1347-995B-A1C6A433C133}" name="Fluence (n/m^2)" dataDxfId="18"/>
    <tableColumn id="3" xr3:uid="{3F6EA7EE-8839-F941-A64A-D9040A16B4D2}" name="Dose (dpa)" dataDxfId="17"/>
    <tableColumn id="4" xr3:uid="{757F14A0-8F0A-0F42-B965-21BBC25E3C83}" name="Temp. (K)" dataDxfId="16"/>
    <tableColumn id="5" xr3:uid="{50F63887-4384-B745-B428-35F92D9DCCCB}" name="Loop Type" dataDxfId="15"/>
    <tableColumn id="6" xr3:uid="{0DF557C0-1401-BA47-A866-7AB8CF76FBC8}" name="Number Density (m^-3)" dataDxfId="14"/>
    <tableColumn id="7" xr3:uid="{FA312B70-C264-F349-8362-FC0B9E73F7C2}" name="Mean Size (nm)" dataDxfId="13"/>
    <tableColumn id="8" xr3:uid="{8D380131-98F2-C14F-A00E-90EB5BF6F096}" name="Source" dataDxfId="12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02FB23-B3AA-2F43-AAB7-5F425E39F96B}" name="Table2" displayName="Table2" ref="A1:I8" totalsRowShown="0" headerRowDxfId="47" headerRowBorderDxfId="46" tableBorderDxfId="45">
  <autoFilter ref="A1:I8" xr:uid="{3A02FB23-B3AA-2F43-AAB7-5F425E39F96B}"/>
  <tableColumns count="9">
    <tableColumn id="1" xr3:uid="{B0B841A9-60DC-2141-8589-7EE49991F639}" name="Material/Alloy"/>
    <tableColumn id="2" xr3:uid="{DFC35CEA-24A5-3342-96F2-73C927AD19E8}" name="Irradiation Source"/>
    <tableColumn id="3" xr3:uid="{34EE4C74-C6CB-BD45-93E5-3F8E1E1D30A7}" name="Fluence (n/m^2)"/>
    <tableColumn id="4" xr3:uid="{0CBD7DC0-E68E-EF46-B825-92B27D42596B}" name="Dose (dpa)" dataDxfId="44">
      <calculatedColumnFormula>C2/6E+24</calculatedColumnFormula>
    </tableColumn>
    <tableColumn id="5" xr3:uid="{0E63C203-CC78-9F47-9B2E-EFCD48565C38}" name="Temp. (K)"/>
    <tableColumn id="6" xr3:uid="{D401AD0C-2F59-A946-B704-9282965070D2}" name="Loop Type"/>
    <tableColumn id="7" xr3:uid="{44981238-2744-464D-B72D-B42B49C10C2C}" name="Number Density (m^-3)"/>
    <tableColumn id="8" xr3:uid="{792D056B-07E4-B341-9C5A-4EAA645D8722}" name="Mean Size (nm)"/>
    <tableColumn id="9" xr3:uid="{39F63FC1-65C3-B748-AF62-376C2ADEAA4D}" name="Source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BA1810-1DE8-FA49-BE40-94EDC943D170}" name="Table1" displayName="Table1" ref="A1:H16" totalsRowShown="0" headerRowDxfId="11" dataDxfId="9" headerRowBorderDxfId="10" tableBorderDxfId="8">
  <autoFilter ref="A1:H16" xr:uid="{01BA1810-1DE8-FA49-BE40-94EDC943D170}"/>
  <tableColumns count="8">
    <tableColumn id="1" xr3:uid="{2A5550E2-5576-5F4E-B700-83BBAE4E3859}" name="Material/Alloy" dataDxfId="7"/>
    <tableColumn id="2" xr3:uid="{4B48C55B-6862-0147-9C7D-A4292C5101B3}" name="Irradiation Source" dataDxfId="6"/>
    <tableColumn id="3" xr3:uid="{01AB9FC8-FD7C-5747-BC94-5C8A8B067AD4}" name="Dose (dpa)" dataDxfId="5"/>
    <tableColumn id="4" xr3:uid="{964B39AC-8DF7-DF44-B1E5-4D67CAAB1BD1}" name="Temp. (K)" dataDxfId="4"/>
    <tableColumn id="5" xr3:uid="{EFEA586D-E77C-5145-8743-D928CFB339E9}" name="Loop Type" dataDxfId="3"/>
    <tableColumn id="6" xr3:uid="{32A90B46-1C56-CC4B-8BE9-6835B3354D9A}" name="Number Density (m^-3)" dataDxfId="2"/>
    <tableColumn id="7" xr3:uid="{CE682218-A4A4-F845-94CA-B6F168D88295}" name="Mean Size (nm)" dataDxfId="1"/>
    <tableColumn id="8" xr3:uid="{56641F18-04B5-484A-BDEB-42F9720EB241}" name="Source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zoomScale="200" zoomScaleNormal="200" workbookViewId="0">
      <selection sqref="A1:E13"/>
    </sheetView>
  </sheetViews>
  <sheetFormatPr baseColWidth="10" defaultColWidth="8.83203125" defaultRowHeight="15" x14ac:dyDescent="0.2"/>
  <cols>
    <col min="1" max="1" width="10" customWidth="1"/>
    <col min="2" max="2" width="49" customWidth="1"/>
    <col min="3" max="3" width="10" customWidth="1"/>
    <col min="4" max="4" width="19" customWidth="1"/>
    <col min="5" max="5" width="29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s="2">
        <v>150000000000000</v>
      </c>
      <c r="E2" t="s">
        <v>8</v>
      </c>
    </row>
    <row r="3" spans="1:5" x14ac:dyDescent="0.2">
      <c r="A3" t="s">
        <v>9</v>
      </c>
      <c r="B3" t="s">
        <v>10</v>
      </c>
      <c r="C3" t="s">
        <v>11</v>
      </c>
      <c r="D3" s="2">
        <v>1.0000000000000001E-5</v>
      </c>
      <c r="E3" t="s">
        <v>12</v>
      </c>
    </row>
    <row r="4" spans="1:5" x14ac:dyDescent="0.2">
      <c r="A4" t="s">
        <v>13</v>
      </c>
      <c r="B4" t="s">
        <v>14</v>
      </c>
      <c r="C4" t="s">
        <v>11</v>
      </c>
      <c r="D4" s="2">
        <v>4.9999999999999998E-8</v>
      </c>
      <c r="E4" t="s">
        <v>15</v>
      </c>
    </row>
    <row r="5" spans="1:5" x14ac:dyDescent="0.2">
      <c r="A5" t="s">
        <v>16</v>
      </c>
      <c r="B5" t="s">
        <v>17</v>
      </c>
      <c r="C5" t="s">
        <v>18</v>
      </c>
      <c r="D5">
        <v>1E+20</v>
      </c>
      <c r="E5" t="s">
        <v>19</v>
      </c>
    </row>
    <row r="6" spans="1:5" x14ac:dyDescent="0.2">
      <c r="A6" t="s">
        <v>20</v>
      </c>
      <c r="B6" t="s">
        <v>21</v>
      </c>
      <c r="C6" t="s">
        <v>22</v>
      </c>
      <c r="D6">
        <v>573</v>
      </c>
      <c r="E6" t="s">
        <v>21</v>
      </c>
    </row>
    <row r="7" spans="1:5" x14ac:dyDescent="0.2">
      <c r="A7" t="s">
        <v>23</v>
      </c>
      <c r="B7" t="s">
        <v>24</v>
      </c>
      <c r="C7" t="s">
        <v>25</v>
      </c>
      <c r="D7" s="2">
        <v>9.9999999999999995E-8</v>
      </c>
      <c r="E7" t="s">
        <v>26</v>
      </c>
    </row>
    <row r="8" spans="1:5" x14ac:dyDescent="0.2">
      <c r="A8" t="s">
        <v>27</v>
      </c>
      <c r="B8" t="s">
        <v>28</v>
      </c>
      <c r="C8" t="s">
        <v>18</v>
      </c>
      <c r="D8" s="2">
        <v>1E+20</v>
      </c>
      <c r="E8" t="s">
        <v>29</v>
      </c>
    </row>
    <row r="9" spans="1:5" x14ac:dyDescent="0.2">
      <c r="A9" t="s">
        <v>30</v>
      </c>
      <c r="B9" t="s">
        <v>31</v>
      </c>
      <c r="C9" t="s">
        <v>18</v>
      </c>
      <c r="D9">
        <v>1E+21</v>
      </c>
      <c r="E9" t="s">
        <v>32</v>
      </c>
    </row>
    <row r="10" spans="1:5" x14ac:dyDescent="0.2">
      <c r="A10" t="s">
        <v>145</v>
      </c>
      <c r="B10" t="s">
        <v>146</v>
      </c>
      <c r="C10" t="s">
        <v>143</v>
      </c>
      <c r="D10" s="2">
        <v>100000000</v>
      </c>
      <c r="E10" t="s">
        <v>144</v>
      </c>
    </row>
    <row r="11" spans="1:5" x14ac:dyDescent="0.2">
      <c r="A11" t="s">
        <v>147</v>
      </c>
      <c r="B11" t="s">
        <v>148</v>
      </c>
      <c r="C11" t="s">
        <v>143</v>
      </c>
      <c r="D11" s="2">
        <v>0</v>
      </c>
      <c r="E11" t="s">
        <v>149</v>
      </c>
    </row>
    <row r="12" spans="1:5" x14ac:dyDescent="0.2">
      <c r="A12" t="s">
        <v>247</v>
      </c>
      <c r="B12" t="s">
        <v>248</v>
      </c>
      <c r="D12">
        <v>100000000000000</v>
      </c>
    </row>
    <row r="13" spans="1:5" x14ac:dyDescent="0.2">
      <c r="A13" t="s">
        <v>249</v>
      </c>
      <c r="B13" t="s">
        <v>250</v>
      </c>
      <c r="D13">
        <v>200115884165306.59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zoomScale="114" zoomScaleNormal="200" workbookViewId="0">
      <selection sqref="A1:XFD33"/>
    </sheetView>
  </sheetViews>
  <sheetFormatPr baseColWidth="10" defaultColWidth="8.83203125" defaultRowHeight="15" x14ac:dyDescent="0.2"/>
  <cols>
    <col min="1" max="1" width="12" customWidth="1"/>
    <col min="2" max="2" width="50" customWidth="1"/>
    <col min="3" max="3" width="10" customWidth="1"/>
    <col min="4" max="4" width="18" customWidth="1"/>
    <col min="5" max="5" width="37" customWidth="1"/>
    <col min="6" max="6" width="10.83203125" bestFit="1" customWidth="1"/>
  </cols>
  <sheetData>
    <row r="1" spans="1:5" x14ac:dyDescent="0.2">
      <c r="A1" s="1" t="s">
        <v>0</v>
      </c>
      <c r="B1" s="1" t="s">
        <v>33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34</v>
      </c>
      <c r="B2" t="s">
        <v>35</v>
      </c>
      <c r="C2" t="s">
        <v>11</v>
      </c>
      <c r="D2">
        <v>3.2300000000000002E-10</v>
      </c>
      <c r="E2" t="s">
        <v>36</v>
      </c>
    </row>
    <row r="3" spans="1:5" x14ac:dyDescent="0.2">
      <c r="A3" t="s">
        <v>37</v>
      </c>
      <c r="B3" t="s">
        <v>38</v>
      </c>
      <c r="C3" t="s">
        <v>11</v>
      </c>
      <c r="D3">
        <v>3.2300000000000002E-10</v>
      </c>
      <c r="E3" t="s">
        <v>39</v>
      </c>
    </row>
    <row r="4" spans="1:5" x14ac:dyDescent="0.2">
      <c r="A4" t="s">
        <v>40</v>
      </c>
      <c r="B4" t="s">
        <v>41</v>
      </c>
      <c r="C4" t="s">
        <v>11</v>
      </c>
      <c r="D4">
        <v>5.1499999999999998E-10</v>
      </c>
      <c r="E4" t="s">
        <v>42</v>
      </c>
    </row>
    <row r="5" spans="1:5" x14ac:dyDescent="0.2">
      <c r="A5" t="s">
        <v>70</v>
      </c>
      <c r="B5" t="s">
        <v>71</v>
      </c>
      <c r="C5" t="s">
        <v>72</v>
      </c>
      <c r="D5" s="2">
        <v>1.2E-29</v>
      </c>
      <c r="E5" t="s">
        <v>73</v>
      </c>
    </row>
    <row r="6" spans="1:5" x14ac:dyDescent="0.2">
      <c r="A6" t="s">
        <v>74</v>
      </c>
      <c r="B6" t="s">
        <v>75</v>
      </c>
      <c r="C6" t="s">
        <v>76</v>
      </c>
      <c r="D6">
        <v>48</v>
      </c>
      <c r="E6" t="s">
        <v>77</v>
      </c>
    </row>
    <row r="7" spans="1:5" x14ac:dyDescent="0.2">
      <c r="A7" t="s">
        <v>172</v>
      </c>
      <c r="B7" t="s">
        <v>173</v>
      </c>
      <c r="D7" s="2">
        <v>0.5</v>
      </c>
    </row>
    <row r="8" spans="1:5" s="7" customFormat="1" x14ac:dyDescent="0.2"/>
    <row r="9" spans="1:5" x14ac:dyDescent="0.2">
      <c r="A9" t="s">
        <v>43</v>
      </c>
      <c r="B9" t="s">
        <v>44</v>
      </c>
      <c r="C9" t="s">
        <v>45</v>
      </c>
      <c r="D9">
        <v>0.95</v>
      </c>
      <c r="E9" t="s">
        <v>46</v>
      </c>
    </row>
    <row r="10" spans="1:5" x14ac:dyDescent="0.2">
      <c r="A10" t="s">
        <v>164</v>
      </c>
      <c r="B10" t="s">
        <v>165</v>
      </c>
      <c r="C10" t="s">
        <v>45</v>
      </c>
      <c r="D10">
        <v>0.8</v>
      </c>
      <c r="E10" t="s">
        <v>166</v>
      </c>
    </row>
    <row r="11" spans="1:5" x14ac:dyDescent="0.2">
      <c r="A11" t="s">
        <v>47</v>
      </c>
      <c r="B11" t="s">
        <v>48</v>
      </c>
      <c r="C11" t="s">
        <v>45</v>
      </c>
      <c r="D11">
        <v>1.2</v>
      </c>
      <c r="E11" t="s">
        <v>49</v>
      </c>
    </row>
    <row r="12" spans="1:5" x14ac:dyDescent="0.2">
      <c r="A12" t="s">
        <v>50</v>
      </c>
      <c r="B12" t="s">
        <v>51</v>
      </c>
      <c r="C12" t="s">
        <v>45</v>
      </c>
      <c r="D12">
        <v>1.6</v>
      </c>
      <c r="E12" t="s">
        <v>52</v>
      </c>
    </row>
    <row r="13" spans="1:5" x14ac:dyDescent="0.2">
      <c r="A13" t="s">
        <v>53</v>
      </c>
      <c r="B13" t="s">
        <v>54</v>
      </c>
      <c r="C13" t="s">
        <v>45</v>
      </c>
      <c r="D13">
        <v>3</v>
      </c>
      <c r="E13" t="s">
        <v>55</v>
      </c>
    </row>
    <row r="14" spans="1:5" x14ac:dyDescent="0.2">
      <c r="A14" t="s">
        <v>150</v>
      </c>
      <c r="B14" t="s">
        <v>151</v>
      </c>
      <c r="C14" t="s">
        <v>45</v>
      </c>
      <c r="D14">
        <v>1</v>
      </c>
      <c r="E14" t="s">
        <v>151</v>
      </c>
    </row>
    <row r="15" spans="1:5" x14ac:dyDescent="0.2">
      <c r="A15" t="s">
        <v>152</v>
      </c>
      <c r="B15" t="s">
        <v>153</v>
      </c>
      <c r="C15" t="s">
        <v>45</v>
      </c>
      <c r="D15">
        <v>2</v>
      </c>
      <c r="E15" t="s">
        <v>151</v>
      </c>
    </row>
    <row r="16" spans="1:5" s="7" customFormat="1" x14ac:dyDescent="0.2"/>
    <row r="17" spans="1:6" x14ac:dyDescent="0.2">
      <c r="A17" t="s">
        <v>56</v>
      </c>
      <c r="B17" t="s">
        <v>57</v>
      </c>
      <c r="C17" t="s">
        <v>58</v>
      </c>
      <c r="D17" s="2">
        <v>1.5E+19</v>
      </c>
      <c r="E17" t="s">
        <v>59</v>
      </c>
    </row>
    <row r="18" spans="1:6" x14ac:dyDescent="0.2">
      <c r="A18" t="s">
        <v>60</v>
      </c>
      <c r="B18" t="s">
        <v>61</v>
      </c>
      <c r="C18" t="s">
        <v>58</v>
      </c>
      <c r="D18" s="2">
        <v>8E+17</v>
      </c>
      <c r="E18" t="s">
        <v>62</v>
      </c>
    </row>
    <row r="19" spans="1:6" s="7" customFormat="1" x14ac:dyDescent="0.2">
      <c r="D19" s="8"/>
    </row>
    <row r="20" spans="1:6" x14ac:dyDescent="0.2">
      <c r="A20" t="s">
        <v>63</v>
      </c>
      <c r="B20" t="s">
        <v>64</v>
      </c>
      <c r="C20" t="s">
        <v>65</v>
      </c>
      <c r="D20" s="2">
        <v>5000000000000</v>
      </c>
      <c r="E20" t="s">
        <v>66</v>
      </c>
    </row>
    <row r="21" spans="1:6" x14ac:dyDescent="0.2">
      <c r="A21" t="s">
        <v>67</v>
      </c>
      <c r="B21" t="s">
        <v>68</v>
      </c>
      <c r="C21" t="s">
        <v>65</v>
      </c>
      <c r="D21" s="2">
        <v>5000000000000</v>
      </c>
      <c r="E21" t="s">
        <v>69</v>
      </c>
    </row>
    <row r="22" spans="1:6" s="7" customFormat="1" x14ac:dyDescent="0.2"/>
    <row r="23" spans="1:6" x14ac:dyDescent="0.2">
      <c r="A23" t="s">
        <v>78</v>
      </c>
      <c r="B23" t="s">
        <v>79</v>
      </c>
      <c r="C23" t="s">
        <v>76</v>
      </c>
      <c r="D23" s="2">
        <v>2.0388036252491051E-2</v>
      </c>
      <c r="E23" t="s">
        <v>80</v>
      </c>
    </row>
    <row r="24" spans="1:6" x14ac:dyDescent="0.2">
      <c r="A24" t="s">
        <v>81</v>
      </c>
      <c r="B24" t="s">
        <v>82</v>
      </c>
      <c r="C24" t="s">
        <v>76</v>
      </c>
      <c r="D24" s="2">
        <v>3.3500000000000001E-3</v>
      </c>
      <c r="E24" t="s">
        <v>83</v>
      </c>
    </row>
    <row r="25" spans="1:6" x14ac:dyDescent="0.2">
      <c r="A25" t="s">
        <v>84</v>
      </c>
      <c r="B25" t="s">
        <v>85</v>
      </c>
      <c r="C25" t="s">
        <v>76</v>
      </c>
      <c r="D25" s="2">
        <v>3.3500000000000001E-3</v>
      </c>
      <c r="E25" t="s">
        <v>86</v>
      </c>
    </row>
    <row r="26" spans="1:6" s="7" customFormat="1" x14ac:dyDescent="0.2"/>
    <row r="27" spans="1:6" x14ac:dyDescent="0.2">
      <c r="A27" t="s">
        <v>87</v>
      </c>
      <c r="B27" t="s">
        <v>88</v>
      </c>
      <c r="C27" t="s">
        <v>76</v>
      </c>
      <c r="D27">
        <v>2</v>
      </c>
      <c r="E27" t="s">
        <v>89</v>
      </c>
    </row>
    <row r="28" spans="1:6" x14ac:dyDescent="0.2">
      <c r="A28" t="s">
        <v>154</v>
      </c>
      <c r="B28" t="s">
        <v>155</v>
      </c>
      <c r="C28" t="s">
        <v>143</v>
      </c>
      <c r="D28" s="2">
        <v>30000000000</v>
      </c>
      <c r="E28" t="s">
        <v>155</v>
      </c>
      <c r="F28" s="2"/>
    </row>
    <row r="29" spans="1:6" x14ac:dyDescent="0.2">
      <c r="A29" t="s">
        <v>156</v>
      </c>
      <c r="B29" t="s">
        <v>157</v>
      </c>
      <c r="C29" t="s">
        <v>76</v>
      </c>
      <c r="D29" s="2">
        <v>0.34</v>
      </c>
      <c r="E29" t="s">
        <v>157</v>
      </c>
      <c r="F29" s="2"/>
    </row>
    <row r="32" spans="1:6" x14ac:dyDescent="0.2">
      <c r="A32" t="s">
        <v>167</v>
      </c>
      <c r="B32" t="s">
        <v>169</v>
      </c>
      <c r="C32" t="s">
        <v>168</v>
      </c>
      <c r="D32" s="2">
        <v>8.1881999999999997E-10</v>
      </c>
    </row>
    <row r="33" spans="1:4" x14ac:dyDescent="0.2">
      <c r="A33" t="s">
        <v>170</v>
      </c>
      <c r="B33" t="s">
        <v>171</v>
      </c>
      <c r="C33" t="s">
        <v>168</v>
      </c>
      <c r="D33" s="2">
        <v>4.9638999999999997E-13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zoomScale="140" zoomScaleNormal="200" workbookViewId="0">
      <selection sqref="A1:XFD32"/>
    </sheetView>
  </sheetViews>
  <sheetFormatPr baseColWidth="10" defaultColWidth="8.83203125" defaultRowHeight="15" x14ac:dyDescent="0.2"/>
  <cols>
    <col min="1" max="1" width="11" customWidth="1"/>
    <col min="2" max="2" width="50" customWidth="1"/>
    <col min="3" max="3" width="7" customWidth="1"/>
    <col min="4" max="4" width="11.33203125" style="4" customWidth="1"/>
    <col min="5" max="5" width="5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</row>
    <row r="2" spans="1:5" x14ac:dyDescent="0.2">
      <c r="A2" t="s">
        <v>161</v>
      </c>
      <c r="B2" t="s">
        <v>90</v>
      </c>
      <c r="C2" t="s">
        <v>76</v>
      </c>
      <c r="D2" s="4">
        <v>1.1000000000000001</v>
      </c>
      <c r="E2" t="s">
        <v>91</v>
      </c>
    </row>
    <row r="3" spans="1:5" x14ac:dyDescent="0.2">
      <c r="A3" t="s">
        <v>162</v>
      </c>
      <c r="B3" t="s">
        <v>92</v>
      </c>
      <c r="C3" t="s">
        <v>76</v>
      </c>
      <c r="D3" s="4">
        <v>1.3</v>
      </c>
      <c r="E3" t="s">
        <v>93</v>
      </c>
    </row>
    <row r="4" spans="1:5" x14ac:dyDescent="0.2">
      <c r="A4" t="s">
        <v>163</v>
      </c>
      <c r="B4" t="s">
        <v>94</v>
      </c>
      <c r="C4" t="s">
        <v>76</v>
      </c>
      <c r="D4" s="4">
        <v>1</v>
      </c>
      <c r="E4" t="s">
        <v>95</v>
      </c>
    </row>
    <row r="5" spans="1:5" x14ac:dyDescent="0.2">
      <c r="A5" t="s">
        <v>96</v>
      </c>
      <c r="B5" t="s">
        <v>97</v>
      </c>
      <c r="C5" t="s">
        <v>76</v>
      </c>
      <c r="D5" s="4">
        <v>1</v>
      </c>
      <c r="E5" t="s">
        <v>98</v>
      </c>
    </row>
    <row r="6" spans="1:5" x14ac:dyDescent="0.2">
      <c r="A6" t="s">
        <v>99</v>
      </c>
      <c r="B6" t="s">
        <v>100</v>
      </c>
      <c r="C6" t="s">
        <v>76</v>
      </c>
      <c r="D6" s="4">
        <v>1</v>
      </c>
      <c r="E6" t="s">
        <v>101</v>
      </c>
    </row>
    <row r="7" spans="1:5" x14ac:dyDescent="0.2">
      <c r="A7" t="s">
        <v>102</v>
      </c>
      <c r="B7" t="s">
        <v>103</v>
      </c>
      <c r="C7" t="s">
        <v>76</v>
      </c>
      <c r="D7" s="4">
        <v>1</v>
      </c>
      <c r="E7" t="s">
        <v>104</v>
      </c>
    </row>
    <row r="8" spans="1:5" s="5" customFormat="1" x14ac:dyDescent="0.2">
      <c r="D8" s="6"/>
    </row>
    <row r="9" spans="1:5" x14ac:dyDescent="0.2">
      <c r="A9" t="s">
        <v>105</v>
      </c>
      <c r="B9" t="s">
        <v>106</v>
      </c>
      <c r="C9" t="s">
        <v>107</v>
      </c>
      <c r="D9" s="4">
        <v>1000</v>
      </c>
      <c r="E9" t="s">
        <v>108</v>
      </c>
    </row>
    <row r="10" spans="1:5" x14ac:dyDescent="0.2">
      <c r="A10" t="s">
        <v>109</v>
      </c>
      <c r="B10" t="s">
        <v>110</v>
      </c>
      <c r="C10" t="s">
        <v>107</v>
      </c>
      <c r="D10" s="4">
        <v>500</v>
      </c>
      <c r="E10" t="s">
        <v>111</v>
      </c>
    </row>
    <row r="11" spans="1:5" x14ac:dyDescent="0.2">
      <c r="A11" t="s">
        <v>158</v>
      </c>
      <c r="B11" t="s">
        <v>159</v>
      </c>
      <c r="C11" t="s">
        <v>11</v>
      </c>
      <c r="D11" s="4">
        <v>2.4999999999999999E-8</v>
      </c>
      <c r="E11" t="s">
        <v>160</v>
      </c>
    </row>
    <row r="12" spans="1:5" s="5" customFormat="1" x14ac:dyDescent="0.2">
      <c r="D12" s="6"/>
    </row>
    <row r="13" spans="1:5" x14ac:dyDescent="0.2">
      <c r="A13" t="s">
        <v>112</v>
      </c>
      <c r="B13" t="s">
        <v>113</v>
      </c>
      <c r="C13" t="s">
        <v>76</v>
      </c>
      <c r="D13" s="4">
        <v>0.15</v>
      </c>
      <c r="E13" t="s">
        <v>114</v>
      </c>
    </row>
    <row r="14" spans="1:5" x14ac:dyDescent="0.2">
      <c r="A14" t="s">
        <v>115</v>
      </c>
      <c r="B14" t="s">
        <v>116</v>
      </c>
      <c r="C14" t="s">
        <v>76</v>
      </c>
      <c r="D14" s="4">
        <v>0.1</v>
      </c>
      <c r="E14" t="s">
        <v>117</v>
      </c>
    </row>
    <row r="15" spans="1:5" x14ac:dyDescent="0.2">
      <c r="A15" t="s">
        <v>118</v>
      </c>
      <c r="B15" t="s">
        <v>119</v>
      </c>
      <c r="C15" t="s">
        <v>76</v>
      </c>
      <c r="D15" s="4">
        <v>0.25</v>
      </c>
      <c r="E15" t="s">
        <v>120</v>
      </c>
    </row>
    <row r="16" spans="1:5" x14ac:dyDescent="0.2">
      <c r="A16" t="s">
        <v>121</v>
      </c>
      <c r="B16" t="s">
        <v>122</v>
      </c>
      <c r="C16" t="s">
        <v>76</v>
      </c>
      <c r="D16" s="4">
        <v>0.3</v>
      </c>
      <c r="E16" t="s">
        <v>123</v>
      </c>
    </row>
    <row r="17" spans="1:5" x14ac:dyDescent="0.2">
      <c r="A17" t="s">
        <v>124</v>
      </c>
      <c r="B17" t="s">
        <v>125</v>
      </c>
      <c r="C17" t="s">
        <v>76</v>
      </c>
      <c r="D17" s="4">
        <v>0.2</v>
      </c>
      <c r="E17" t="s">
        <v>126</v>
      </c>
    </row>
    <row r="18" spans="1:5" x14ac:dyDescent="0.2">
      <c r="A18" t="s">
        <v>127</v>
      </c>
      <c r="B18" t="s">
        <v>128</v>
      </c>
      <c r="C18" t="s">
        <v>76</v>
      </c>
      <c r="D18" s="4">
        <v>0.25</v>
      </c>
      <c r="E18" t="s">
        <v>129</v>
      </c>
    </row>
    <row r="19" spans="1:5" x14ac:dyDescent="0.2">
      <c r="A19" t="s">
        <v>130</v>
      </c>
      <c r="B19" t="s">
        <v>131</v>
      </c>
      <c r="C19" t="s">
        <v>76</v>
      </c>
      <c r="D19" s="4">
        <v>0.3</v>
      </c>
      <c r="E19" t="s">
        <v>132</v>
      </c>
    </row>
    <row r="20" spans="1:5" s="5" customFormat="1" x14ac:dyDescent="0.2">
      <c r="D20" s="6"/>
    </row>
    <row r="21" spans="1:5" x14ac:dyDescent="0.2">
      <c r="A21" t="s">
        <v>11</v>
      </c>
      <c r="B21" t="s">
        <v>133</v>
      </c>
      <c r="C21" t="s">
        <v>76</v>
      </c>
      <c r="D21" s="4">
        <v>100</v>
      </c>
      <c r="E21" t="s">
        <v>134</v>
      </c>
    </row>
    <row r="22" spans="1:5" x14ac:dyDescent="0.2">
      <c r="A22" t="s">
        <v>107</v>
      </c>
      <c r="B22" t="s">
        <v>135</v>
      </c>
      <c r="C22" t="s">
        <v>76</v>
      </c>
      <c r="D22" s="4">
        <v>1E-3</v>
      </c>
      <c r="E22" t="s">
        <v>136</v>
      </c>
    </row>
    <row r="23" spans="1:5" x14ac:dyDescent="0.2">
      <c r="A23" t="s">
        <v>137</v>
      </c>
      <c r="B23" t="s">
        <v>138</v>
      </c>
      <c r="C23" t="s">
        <v>76</v>
      </c>
      <c r="D23" s="4">
        <v>9.9999999999999995E-7</v>
      </c>
      <c r="E23" t="s">
        <v>139</v>
      </c>
    </row>
    <row r="24" spans="1:5" x14ac:dyDescent="0.2">
      <c r="A24" t="s">
        <v>140</v>
      </c>
      <c r="B24" t="s">
        <v>141</v>
      </c>
      <c r="C24" t="s">
        <v>76</v>
      </c>
      <c r="D24" s="4">
        <v>9.9999999999999995E-8</v>
      </c>
      <c r="E24" t="s">
        <v>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DE057-9411-4EA9-A32C-FE22A22C4379}">
  <dimension ref="A1:Y44"/>
  <sheetViews>
    <sheetView zoomScale="140" zoomScaleNormal="140" workbookViewId="0">
      <selection activeCell="C18" sqref="C18"/>
    </sheetView>
  </sheetViews>
  <sheetFormatPr baseColWidth="10" defaultColWidth="8.83203125" defaultRowHeight="15" x14ac:dyDescent="0.2"/>
  <cols>
    <col min="1" max="1" width="12.83203125" style="9" customWidth="1"/>
    <col min="2" max="2" width="8.83203125" style="9" customWidth="1"/>
    <col min="3" max="3" width="10.6640625" style="9" customWidth="1"/>
    <col min="4" max="4" width="11.33203125" style="9" bestFit="1" customWidth="1"/>
    <col min="5" max="5" width="12.33203125" style="9" customWidth="1"/>
    <col min="6" max="6" width="8.6640625" style="9"/>
    <col min="7" max="7" width="29.33203125" style="9" customWidth="1"/>
    <col min="8" max="8" width="11.33203125" style="9" bestFit="1" customWidth="1"/>
    <col min="9" max="9" width="8.6640625" style="9"/>
    <col min="19" max="19" width="11.33203125" customWidth="1"/>
  </cols>
  <sheetData>
    <row r="1" spans="1:25" ht="32" x14ac:dyDescent="0.2">
      <c r="A1" s="9" t="s">
        <v>174</v>
      </c>
      <c r="B1" s="9" t="s">
        <v>217</v>
      </c>
      <c r="C1" s="9" t="s">
        <v>175</v>
      </c>
      <c r="D1" s="9" t="s">
        <v>176</v>
      </c>
      <c r="E1" s="9" t="s">
        <v>177</v>
      </c>
      <c r="F1" s="9" t="s">
        <v>178</v>
      </c>
      <c r="G1" s="9" t="s">
        <v>179</v>
      </c>
    </row>
    <row r="2" spans="1:25" ht="16" x14ac:dyDescent="0.2">
      <c r="A2" s="9" t="s">
        <v>191</v>
      </c>
    </row>
    <row r="3" spans="1:25" x14ac:dyDescent="0.2">
      <c r="A3" s="9">
        <v>300</v>
      </c>
      <c r="B3" s="9">
        <f t="shared" ref="B3:B14" si="0">A3+273</f>
        <v>573</v>
      </c>
      <c r="C3" s="10">
        <v>4.9999999999999999E+23</v>
      </c>
      <c r="D3" s="10">
        <f t="shared" ref="D3:D11" si="1">C3/$L$6</f>
        <v>8.3333333333333329E-2</v>
      </c>
      <c r="E3" s="10">
        <v>1E+22</v>
      </c>
      <c r="F3" s="9">
        <v>4.5</v>
      </c>
      <c r="G3" t="s">
        <v>180</v>
      </c>
    </row>
    <row r="4" spans="1:25" x14ac:dyDescent="0.2">
      <c r="C4" s="10">
        <v>7.9999999999999993E+23</v>
      </c>
      <c r="D4" s="10">
        <f t="shared" si="1"/>
        <v>0.13333333333333333</v>
      </c>
      <c r="E4" s="10">
        <v>2.4999999999999998E+22</v>
      </c>
      <c r="F4" s="9">
        <v>5.8</v>
      </c>
      <c r="G4" t="s">
        <v>181</v>
      </c>
      <c r="Y4" s="2"/>
    </row>
    <row r="5" spans="1:25" x14ac:dyDescent="0.2">
      <c r="C5" s="10">
        <v>1.5E+24</v>
      </c>
      <c r="D5" s="10">
        <f t="shared" si="1"/>
        <v>0.25</v>
      </c>
      <c r="E5" s="10">
        <v>3.6E+22</v>
      </c>
      <c r="F5" s="9">
        <v>7</v>
      </c>
    </row>
    <row r="6" spans="1:25" x14ac:dyDescent="0.2">
      <c r="C6" s="10">
        <v>2E+24</v>
      </c>
      <c r="D6" s="10">
        <f t="shared" si="1"/>
        <v>0.33333333333333331</v>
      </c>
      <c r="E6" s="10">
        <v>3E+22</v>
      </c>
      <c r="F6" s="9">
        <v>6.4</v>
      </c>
      <c r="L6" s="2">
        <v>5.9999999999999999E+24</v>
      </c>
      <c r="M6" t="s">
        <v>188</v>
      </c>
    </row>
    <row r="7" spans="1:25" x14ac:dyDescent="0.2">
      <c r="C7" s="10">
        <v>4E+22</v>
      </c>
      <c r="D7" s="10">
        <f t="shared" si="1"/>
        <v>6.6666666666666671E-3</v>
      </c>
      <c r="E7" s="10">
        <v>2.8E+22</v>
      </c>
      <c r="F7" s="9">
        <v>6.6</v>
      </c>
    </row>
    <row r="8" spans="1:25" x14ac:dyDescent="0.2">
      <c r="C8" s="10">
        <v>8.9999999999999996E+22</v>
      </c>
      <c r="D8" s="10">
        <f t="shared" si="1"/>
        <v>1.4999999999999999E-2</v>
      </c>
      <c r="E8" s="10">
        <v>3E+22</v>
      </c>
      <c r="F8" s="9">
        <v>6.8</v>
      </c>
    </row>
    <row r="9" spans="1:25" x14ac:dyDescent="0.2">
      <c r="C9" s="10">
        <v>1.9999999999999998E+23</v>
      </c>
      <c r="D9" s="10">
        <f t="shared" si="1"/>
        <v>3.3333333333333333E-2</v>
      </c>
      <c r="E9" s="10">
        <v>2.7000000000000002E+22</v>
      </c>
      <c r="F9" s="9">
        <v>7.2</v>
      </c>
    </row>
    <row r="10" spans="1:25" x14ac:dyDescent="0.2">
      <c r="C10" s="10">
        <v>7.9999999999999993E+23</v>
      </c>
      <c r="D10" s="10">
        <f t="shared" si="1"/>
        <v>0.13333333333333333</v>
      </c>
      <c r="E10" s="10">
        <v>2.4999999999999998E+22</v>
      </c>
      <c r="F10" s="9">
        <v>7</v>
      </c>
    </row>
    <row r="11" spans="1:25" x14ac:dyDescent="0.2">
      <c r="C11" s="10">
        <v>9.9999999999999998E+23</v>
      </c>
      <c r="D11" s="10">
        <f t="shared" si="1"/>
        <v>0.16666666666666666</v>
      </c>
      <c r="E11" s="10">
        <v>2.2E+22</v>
      </c>
      <c r="F11" s="9">
        <v>7.5</v>
      </c>
      <c r="R11" s="2"/>
    </row>
    <row r="13" spans="1:25" x14ac:dyDescent="0.2">
      <c r="A13" s="9">
        <v>350</v>
      </c>
      <c r="B13" s="9">
        <f t="shared" si="0"/>
        <v>623</v>
      </c>
      <c r="C13" s="10">
        <v>1.0000000000000001E+25</v>
      </c>
      <c r="D13" s="10">
        <f>C13/$L$6</f>
        <v>1.6666666666666667</v>
      </c>
      <c r="E13" s="10">
        <v>3E+22</v>
      </c>
      <c r="F13" s="9">
        <v>10</v>
      </c>
    </row>
    <row r="14" spans="1:25" x14ac:dyDescent="0.2">
      <c r="A14" s="9">
        <v>400</v>
      </c>
      <c r="B14" s="9">
        <f t="shared" si="0"/>
        <v>673</v>
      </c>
      <c r="C14" s="10">
        <v>1.0000000000000001E+25</v>
      </c>
      <c r="D14" s="9">
        <f>C14/$L$6</f>
        <v>1.6666666666666667</v>
      </c>
      <c r="E14" s="10">
        <v>1E+22</v>
      </c>
      <c r="F14" s="9">
        <v>22</v>
      </c>
    </row>
    <row r="17" spans="4:8" x14ac:dyDescent="0.2">
      <c r="G17" s="10"/>
      <c r="H17"/>
    </row>
    <row r="18" spans="4:8" x14ac:dyDescent="0.2">
      <c r="G18" s="10"/>
      <c r="H18"/>
    </row>
    <row r="19" spans="4:8" x14ac:dyDescent="0.2">
      <c r="G19" s="10"/>
      <c r="H19"/>
    </row>
    <row r="20" spans="4:8" x14ac:dyDescent="0.2">
      <c r="G20" s="10"/>
      <c r="H20"/>
    </row>
    <row r="21" spans="4:8" x14ac:dyDescent="0.2">
      <c r="G21" s="10"/>
      <c r="H21"/>
    </row>
    <row r="22" spans="4:8" x14ac:dyDescent="0.2">
      <c r="G22" s="10"/>
      <c r="H22"/>
    </row>
    <row r="24" spans="4:8" x14ac:dyDescent="0.2">
      <c r="D24" s="10"/>
      <c r="G24" s="10"/>
    </row>
    <row r="25" spans="4:8" x14ac:dyDescent="0.2">
      <c r="D25" s="10"/>
      <c r="G25" s="10"/>
    </row>
    <row r="26" spans="4:8" x14ac:dyDescent="0.2">
      <c r="D26" s="10"/>
      <c r="G26" s="10"/>
    </row>
    <row r="27" spans="4:8" x14ac:dyDescent="0.2">
      <c r="D27" s="10"/>
    </row>
    <row r="28" spans="4:8" x14ac:dyDescent="0.2">
      <c r="D28" s="10"/>
    </row>
    <row r="35" spans="8:19" x14ac:dyDescent="0.2">
      <c r="Q35" s="9"/>
      <c r="R35" s="9"/>
      <c r="S35" s="9"/>
    </row>
    <row r="36" spans="8:19" x14ac:dyDescent="0.2">
      <c r="H36"/>
      <c r="Q36" s="9"/>
      <c r="R36" s="9"/>
      <c r="S36" s="9"/>
    </row>
    <row r="37" spans="8:19" x14ac:dyDescent="0.2">
      <c r="H37"/>
      <c r="Q37" s="9"/>
      <c r="R37" s="9"/>
      <c r="S37" s="9"/>
    </row>
    <row r="38" spans="8:19" x14ac:dyDescent="0.2">
      <c r="H38"/>
    </row>
    <row r="39" spans="8:19" x14ac:dyDescent="0.2">
      <c r="H39"/>
    </row>
    <row r="42" spans="8:19" x14ac:dyDescent="0.2">
      <c r="H42"/>
    </row>
    <row r="43" spans="8:19" x14ac:dyDescent="0.2">
      <c r="H43"/>
    </row>
    <row r="44" spans="8:19" x14ac:dyDescent="0.2">
      <c r="H4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E683-FB7E-4B48-9F34-7F1AA2594DBE}">
  <dimension ref="A1:E74"/>
  <sheetViews>
    <sheetView topLeftCell="A43" zoomScale="80" zoomScaleNormal="80" workbookViewId="0">
      <selection activeCell="A74" sqref="A74"/>
    </sheetView>
  </sheetViews>
  <sheetFormatPr baseColWidth="10" defaultRowHeight="15" x14ac:dyDescent="0.2"/>
  <cols>
    <col min="1" max="1" width="21.33203125" style="38" customWidth="1"/>
    <col min="2" max="2" width="12.83203125" style="38" customWidth="1"/>
    <col min="3" max="3" width="24" style="38" customWidth="1"/>
    <col min="4" max="4" width="19" style="38" customWidth="1"/>
    <col min="5" max="5" width="36" customWidth="1"/>
  </cols>
  <sheetData>
    <row r="1" spans="1:5" ht="16" x14ac:dyDescent="0.2">
      <c r="A1" s="102" t="s">
        <v>220</v>
      </c>
      <c r="B1" s="35" t="s">
        <v>176</v>
      </c>
      <c r="C1" s="35" t="s">
        <v>222</v>
      </c>
      <c r="D1" s="35" t="s">
        <v>223</v>
      </c>
      <c r="E1" s="36" t="s">
        <v>224</v>
      </c>
    </row>
    <row r="2" spans="1:5" ht="16" x14ac:dyDescent="0.2">
      <c r="A2" s="95">
        <v>473</v>
      </c>
      <c r="B2" s="62">
        <v>0.13333333333333333</v>
      </c>
      <c r="C2" s="27">
        <v>2.1500000000000001E+22</v>
      </c>
      <c r="D2" s="26">
        <v>8.1</v>
      </c>
      <c r="E2" s="32" t="s">
        <v>231</v>
      </c>
    </row>
    <row r="3" spans="1:5" ht="16" x14ac:dyDescent="0.2">
      <c r="A3" s="103">
        <v>478</v>
      </c>
      <c r="B3" s="104">
        <v>2</v>
      </c>
      <c r="C3" s="74">
        <v>6E+22</v>
      </c>
      <c r="D3" s="84"/>
      <c r="E3" s="32" t="s">
        <v>228</v>
      </c>
    </row>
    <row r="4" spans="1:5" ht="16" x14ac:dyDescent="0.2">
      <c r="A4" s="95">
        <v>500</v>
      </c>
      <c r="B4" s="62">
        <v>0.3</v>
      </c>
      <c r="C4" s="27">
        <v>1.8E+22</v>
      </c>
      <c r="D4" s="26">
        <v>17.5</v>
      </c>
      <c r="E4" s="32" t="s">
        <v>232</v>
      </c>
    </row>
    <row r="5" spans="1:5" ht="16" x14ac:dyDescent="0.2">
      <c r="A5" s="95">
        <v>523</v>
      </c>
      <c r="B5" s="62">
        <v>0.52</v>
      </c>
      <c r="C5" s="27">
        <v>3.4E+22</v>
      </c>
      <c r="D5" s="26">
        <v>8.5</v>
      </c>
      <c r="E5" s="32" t="s">
        <v>233</v>
      </c>
    </row>
    <row r="6" spans="1:5" ht="16" x14ac:dyDescent="0.2">
      <c r="A6" s="103">
        <v>523</v>
      </c>
      <c r="B6" s="104">
        <v>2</v>
      </c>
      <c r="C6" s="74">
        <v>3.2E+22</v>
      </c>
      <c r="D6" s="84"/>
      <c r="E6" s="32" t="s">
        <v>228</v>
      </c>
    </row>
    <row r="7" spans="1:5" x14ac:dyDescent="0.2">
      <c r="A7" s="103">
        <f>250+273</f>
        <v>523</v>
      </c>
      <c r="B7" s="100">
        <v>0.51666666666666672</v>
      </c>
      <c r="C7" s="74">
        <v>2E+22</v>
      </c>
      <c r="D7" s="84">
        <v>6</v>
      </c>
      <c r="E7" s="89" t="s">
        <v>233</v>
      </c>
    </row>
    <row r="8" spans="1:5" x14ac:dyDescent="0.2">
      <c r="A8" s="103">
        <f>250+273</f>
        <v>523</v>
      </c>
      <c r="B8" s="100">
        <v>0.51666666666666672</v>
      </c>
      <c r="C8" s="74">
        <v>4.9999999999999996E+22</v>
      </c>
      <c r="D8" s="84">
        <v>6.6</v>
      </c>
      <c r="E8" s="89" t="s">
        <v>233</v>
      </c>
    </row>
    <row r="9" spans="1:5" x14ac:dyDescent="0.2">
      <c r="A9" s="103">
        <f>250+273</f>
        <v>523</v>
      </c>
      <c r="B9" s="100">
        <v>0.51666666666666672</v>
      </c>
      <c r="C9" s="74">
        <v>3.2E+22</v>
      </c>
      <c r="D9" s="84">
        <v>10.199999999999999</v>
      </c>
      <c r="E9" s="89" t="s">
        <v>233</v>
      </c>
    </row>
    <row r="10" spans="1:5" x14ac:dyDescent="0.2">
      <c r="A10" s="103">
        <f>250+273</f>
        <v>523</v>
      </c>
      <c r="B10" s="100">
        <v>0.51666666666666672</v>
      </c>
      <c r="C10" s="74">
        <v>1.3E+22</v>
      </c>
      <c r="D10" s="84">
        <v>11.6</v>
      </c>
      <c r="E10" s="89" t="s">
        <v>233</v>
      </c>
    </row>
    <row r="11" spans="1:5" ht="16" x14ac:dyDescent="0.2">
      <c r="A11" s="95">
        <v>573</v>
      </c>
      <c r="B11" s="26">
        <v>15.8</v>
      </c>
      <c r="C11" s="27">
        <v>1.5E+22</v>
      </c>
      <c r="D11" s="26">
        <v>4</v>
      </c>
      <c r="E11" s="32" t="s">
        <v>236</v>
      </c>
    </row>
    <row r="12" spans="1:5" ht="16" x14ac:dyDescent="0.2">
      <c r="A12" s="95">
        <v>573</v>
      </c>
      <c r="B12" s="26">
        <v>24.5</v>
      </c>
      <c r="C12" s="27">
        <v>1.8E+22</v>
      </c>
      <c r="D12" s="26">
        <v>4</v>
      </c>
      <c r="E12" s="32" t="s">
        <v>236</v>
      </c>
    </row>
    <row r="13" spans="1:5" x14ac:dyDescent="0.2">
      <c r="A13" s="103">
        <v>573</v>
      </c>
      <c r="B13" s="79">
        <v>8.3333333333333329E-2</v>
      </c>
      <c r="C13" s="74">
        <v>1E+22</v>
      </c>
      <c r="D13" s="84">
        <v>4.5</v>
      </c>
      <c r="E13" s="89" t="s">
        <v>231</v>
      </c>
    </row>
    <row r="14" spans="1:5" ht="16" x14ac:dyDescent="0.2">
      <c r="A14" s="95">
        <v>573</v>
      </c>
      <c r="B14" s="62">
        <v>0.125</v>
      </c>
      <c r="C14" s="27">
        <v>2.0999999999999998E+22</v>
      </c>
      <c r="D14" s="26">
        <v>5.8</v>
      </c>
      <c r="E14" s="32" t="s">
        <v>231</v>
      </c>
    </row>
    <row r="15" spans="1:5" x14ac:dyDescent="0.2">
      <c r="A15" s="103">
        <v>573</v>
      </c>
      <c r="B15" s="79">
        <v>0.13333333333333333</v>
      </c>
      <c r="C15" s="74">
        <v>2.4999999999999998E+22</v>
      </c>
      <c r="D15" s="84">
        <v>5.8</v>
      </c>
      <c r="E15" s="89" t="s">
        <v>231</v>
      </c>
    </row>
    <row r="16" spans="1:5" x14ac:dyDescent="0.2">
      <c r="A16" s="103">
        <v>573</v>
      </c>
      <c r="B16" s="79">
        <v>0.33333333333333331</v>
      </c>
      <c r="C16" s="74">
        <v>3E+22</v>
      </c>
      <c r="D16" s="84">
        <v>6.4</v>
      </c>
      <c r="E16" s="89" t="s">
        <v>231</v>
      </c>
    </row>
    <row r="17" spans="1:5" ht="16" x14ac:dyDescent="0.2">
      <c r="A17" s="95">
        <v>573</v>
      </c>
      <c r="B17" s="25">
        <v>2.1666666666666665</v>
      </c>
      <c r="C17" s="27">
        <v>1.9000000000000002E+22</v>
      </c>
      <c r="D17" s="26">
        <v>6.5</v>
      </c>
      <c r="E17" s="32" t="s">
        <v>228</v>
      </c>
    </row>
    <row r="18" spans="1:5" x14ac:dyDescent="0.2">
      <c r="A18" s="103">
        <v>573</v>
      </c>
      <c r="B18" s="79">
        <v>6.6666666666666671E-3</v>
      </c>
      <c r="C18" s="74">
        <v>2.8E+22</v>
      </c>
      <c r="D18" s="84">
        <v>6.6</v>
      </c>
      <c r="E18" s="89" t="s">
        <v>231</v>
      </c>
    </row>
    <row r="19" spans="1:5" ht="16" x14ac:dyDescent="0.2">
      <c r="A19" s="95">
        <v>573</v>
      </c>
      <c r="B19" s="62">
        <v>0.5</v>
      </c>
      <c r="C19" s="27">
        <v>2.8E+22</v>
      </c>
      <c r="D19" s="26">
        <v>6.8</v>
      </c>
      <c r="E19" s="32" t="s">
        <v>231</v>
      </c>
    </row>
    <row r="20" spans="1:5" x14ac:dyDescent="0.2">
      <c r="A20" s="103">
        <v>573</v>
      </c>
      <c r="B20" s="79">
        <v>1.4999999999999999E-2</v>
      </c>
      <c r="C20" s="74">
        <v>3E+22</v>
      </c>
      <c r="D20" s="84">
        <v>6.8</v>
      </c>
      <c r="E20" s="89" t="s">
        <v>231</v>
      </c>
    </row>
    <row r="21" spans="1:5" ht="16" x14ac:dyDescent="0.2">
      <c r="A21" s="103">
        <v>573</v>
      </c>
      <c r="B21" s="25">
        <v>2.1666666666666665</v>
      </c>
      <c r="C21" s="69"/>
      <c r="D21" s="84">
        <v>7</v>
      </c>
      <c r="E21" s="32" t="s">
        <v>228</v>
      </c>
    </row>
    <row r="22" spans="1:5" ht="16" x14ac:dyDescent="0.2">
      <c r="A22" s="95">
        <v>573</v>
      </c>
      <c r="B22" s="62">
        <v>0.66666666666666663</v>
      </c>
      <c r="C22" s="27">
        <v>3.6999999999999998E+22</v>
      </c>
      <c r="D22" s="26">
        <v>7</v>
      </c>
      <c r="E22" s="32" t="s">
        <v>231</v>
      </c>
    </row>
    <row r="23" spans="1:5" x14ac:dyDescent="0.2">
      <c r="A23" s="103">
        <v>573</v>
      </c>
      <c r="B23" s="79">
        <v>0.25</v>
      </c>
      <c r="C23" s="74">
        <v>3.6E+22</v>
      </c>
      <c r="D23" s="84">
        <v>7</v>
      </c>
      <c r="E23" s="89" t="s">
        <v>231</v>
      </c>
    </row>
    <row r="24" spans="1:5" x14ac:dyDescent="0.2">
      <c r="A24" s="103">
        <v>573</v>
      </c>
      <c r="B24" s="79">
        <v>0.13333333333333333</v>
      </c>
      <c r="C24" s="74">
        <v>2.4999999999999998E+22</v>
      </c>
      <c r="D24" s="84">
        <v>7</v>
      </c>
      <c r="E24" s="89" t="s">
        <v>231</v>
      </c>
    </row>
    <row r="25" spans="1:5" x14ac:dyDescent="0.2">
      <c r="A25" s="103">
        <v>573</v>
      </c>
      <c r="B25" s="79">
        <v>3.3333333333333333E-2</v>
      </c>
      <c r="C25" s="74">
        <v>2.7000000000000002E+22</v>
      </c>
      <c r="D25" s="84">
        <v>7.2</v>
      </c>
      <c r="E25" s="89" t="s">
        <v>231</v>
      </c>
    </row>
    <row r="26" spans="1:5" ht="16" x14ac:dyDescent="0.2">
      <c r="A26" s="95">
        <v>573</v>
      </c>
      <c r="B26" s="62">
        <v>0.5</v>
      </c>
      <c r="C26" s="27">
        <v>2.8E+22</v>
      </c>
      <c r="D26" s="26">
        <v>7.5</v>
      </c>
      <c r="E26" s="32" t="s">
        <v>231</v>
      </c>
    </row>
    <row r="27" spans="1:5" x14ac:dyDescent="0.2">
      <c r="A27" s="103">
        <v>573</v>
      </c>
      <c r="B27" s="79">
        <v>0.16666666666666666</v>
      </c>
      <c r="C27" s="74">
        <v>2.2E+22</v>
      </c>
      <c r="D27" s="84">
        <v>7.5</v>
      </c>
      <c r="E27" s="89" t="s">
        <v>231</v>
      </c>
    </row>
    <row r="28" spans="1:5" ht="16" x14ac:dyDescent="0.2">
      <c r="A28" s="95">
        <v>573</v>
      </c>
      <c r="B28" s="84">
        <v>6.3333333333333325E-2</v>
      </c>
      <c r="C28" s="27">
        <v>1.2E+22</v>
      </c>
      <c r="D28" s="26">
        <v>9</v>
      </c>
      <c r="E28" s="32" t="s">
        <v>234</v>
      </c>
    </row>
    <row r="29" spans="1:5" ht="16" x14ac:dyDescent="0.2">
      <c r="A29" s="95">
        <v>573</v>
      </c>
      <c r="B29" s="62">
        <v>1.5</v>
      </c>
      <c r="C29" s="27">
        <v>2.8E+22</v>
      </c>
      <c r="D29" s="26">
        <v>9</v>
      </c>
      <c r="E29" s="32" t="s">
        <v>231</v>
      </c>
    </row>
    <row r="30" spans="1:5" ht="16" x14ac:dyDescent="0.2">
      <c r="A30" s="95">
        <v>573</v>
      </c>
      <c r="B30" s="62">
        <v>3.3333333333333335</v>
      </c>
      <c r="C30" s="27">
        <v>2.6E+22</v>
      </c>
      <c r="D30" s="26">
        <v>10</v>
      </c>
      <c r="E30" s="32" t="s">
        <v>231</v>
      </c>
    </row>
    <row r="31" spans="1:5" ht="16" x14ac:dyDescent="0.2">
      <c r="A31" s="95">
        <v>573</v>
      </c>
      <c r="B31" s="62">
        <v>0.28833333333333333</v>
      </c>
      <c r="C31" s="27">
        <v>6E+21</v>
      </c>
      <c r="D31" s="26">
        <v>14.5</v>
      </c>
      <c r="E31" s="32" t="s">
        <v>231</v>
      </c>
    </row>
    <row r="32" spans="1:5" ht="16" x14ac:dyDescent="0.2">
      <c r="A32" s="95">
        <v>573</v>
      </c>
      <c r="B32" s="25">
        <v>2.1666666666666665</v>
      </c>
      <c r="C32" s="27">
        <v>5E+21</v>
      </c>
      <c r="D32" s="26">
        <v>18.600000000000001</v>
      </c>
      <c r="E32" s="32" t="s">
        <v>228</v>
      </c>
    </row>
    <row r="33" spans="1:5" ht="16" x14ac:dyDescent="0.2">
      <c r="A33" s="95">
        <v>573</v>
      </c>
      <c r="B33" s="62">
        <v>1.8333333333333335</v>
      </c>
      <c r="C33" s="27">
        <v>5E+21</v>
      </c>
      <c r="D33" s="26">
        <v>18.600000000000001</v>
      </c>
      <c r="E33" s="32" t="s">
        <v>231</v>
      </c>
    </row>
    <row r="34" spans="1:5" ht="16" x14ac:dyDescent="0.2">
      <c r="A34" s="103">
        <v>573</v>
      </c>
      <c r="B34" s="104">
        <v>2</v>
      </c>
      <c r="C34" s="74">
        <v>1.8E+22</v>
      </c>
      <c r="D34" s="84"/>
      <c r="E34" s="32" t="s">
        <v>228</v>
      </c>
    </row>
    <row r="35" spans="1:5" ht="16" x14ac:dyDescent="0.2">
      <c r="A35" s="103">
        <v>573</v>
      </c>
      <c r="B35" s="84">
        <v>0.2</v>
      </c>
      <c r="C35" s="74">
        <v>1.2E+22</v>
      </c>
      <c r="D35" s="84"/>
      <c r="E35" s="32" t="s">
        <v>228</v>
      </c>
    </row>
    <row r="36" spans="1:5" x14ac:dyDescent="0.2">
      <c r="A36" s="103">
        <v>575</v>
      </c>
      <c r="B36" s="100">
        <v>0.25</v>
      </c>
      <c r="C36" s="74">
        <v>4.1999999999999996E+22</v>
      </c>
      <c r="D36" s="84">
        <v>8</v>
      </c>
      <c r="E36" s="89" t="s">
        <v>246</v>
      </c>
    </row>
    <row r="37" spans="1:5" ht="16" x14ac:dyDescent="0.2">
      <c r="A37" s="95">
        <v>600</v>
      </c>
      <c r="B37" s="26">
        <v>23</v>
      </c>
      <c r="C37" s="27">
        <v>8.8E+22</v>
      </c>
      <c r="D37" s="26">
        <v>6.6</v>
      </c>
      <c r="E37" s="32" t="s">
        <v>237</v>
      </c>
    </row>
    <row r="38" spans="1:5" ht="16" x14ac:dyDescent="0.2">
      <c r="A38" s="95">
        <v>600</v>
      </c>
      <c r="B38" s="26">
        <v>23</v>
      </c>
      <c r="C38" s="27">
        <v>7.3999999999999996E+22</v>
      </c>
      <c r="D38" s="26">
        <v>7.3</v>
      </c>
      <c r="E38" s="32" t="s">
        <v>237</v>
      </c>
    </row>
    <row r="39" spans="1:5" ht="16" x14ac:dyDescent="0.2">
      <c r="A39" s="95">
        <v>600</v>
      </c>
      <c r="B39" s="26">
        <v>4.8</v>
      </c>
      <c r="C39" s="27">
        <v>4.3000000000000002E+22</v>
      </c>
      <c r="D39" s="26">
        <v>10</v>
      </c>
      <c r="E39" s="32" t="s">
        <v>237</v>
      </c>
    </row>
    <row r="40" spans="1:5" ht="16" x14ac:dyDescent="0.2">
      <c r="A40" s="95">
        <v>600</v>
      </c>
      <c r="B40" s="26">
        <v>12</v>
      </c>
      <c r="C40" s="27">
        <v>4.8999999999999998E+22</v>
      </c>
      <c r="D40" s="26">
        <v>10.5</v>
      </c>
      <c r="E40" s="32" t="s">
        <v>237</v>
      </c>
    </row>
    <row r="41" spans="1:5" ht="16" x14ac:dyDescent="0.2">
      <c r="A41" s="95">
        <v>600</v>
      </c>
      <c r="B41" s="26">
        <v>23</v>
      </c>
      <c r="C41" s="27">
        <v>5.1000000000000002E+22</v>
      </c>
      <c r="D41" s="26">
        <v>10.7</v>
      </c>
      <c r="E41" s="32" t="s">
        <v>237</v>
      </c>
    </row>
    <row r="42" spans="1:5" x14ac:dyDescent="0.2">
      <c r="A42" s="103">
        <f>342+273</f>
        <v>615</v>
      </c>
      <c r="B42" s="100">
        <v>1.6666666666666667</v>
      </c>
      <c r="C42" s="74">
        <v>4.8E+22</v>
      </c>
      <c r="D42" s="84">
        <v>8.1</v>
      </c>
      <c r="E42" s="89" t="s">
        <v>233</v>
      </c>
    </row>
    <row r="43" spans="1:5" x14ac:dyDescent="0.2">
      <c r="A43" s="103">
        <f>342+273</f>
        <v>615</v>
      </c>
      <c r="B43" s="100">
        <v>1.6666666666666667</v>
      </c>
      <c r="C43" s="74">
        <v>3.2E+22</v>
      </c>
      <c r="D43" s="84">
        <v>8.3000000000000007</v>
      </c>
      <c r="E43" s="89" t="s">
        <v>233</v>
      </c>
    </row>
    <row r="44" spans="1:5" x14ac:dyDescent="0.2">
      <c r="A44" s="103">
        <f>342+273</f>
        <v>615</v>
      </c>
      <c r="B44" s="100">
        <v>1.6666666666666667</v>
      </c>
      <c r="C44" s="74">
        <v>1.6E+22</v>
      </c>
      <c r="D44" s="84">
        <v>8.5</v>
      </c>
      <c r="E44" s="89" t="s">
        <v>233</v>
      </c>
    </row>
    <row r="45" spans="1:5" ht="16" x14ac:dyDescent="0.2">
      <c r="A45" s="95">
        <v>615</v>
      </c>
      <c r="B45" s="62">
        <v>1.67</v>
      </c>
      <c r="C45" s="27">
        <v>1.9000000000000002E+22</v>
      </c>
      <c r="D45" s="26">
        <v>8.6999999999999993</v>
      </c>
      <c r="E45" s="32" t="s">
        <v>233</v>
      </c>
    </row>
    <row r="46" spans="1:5" x14ac:dyDescent="0.2">
      <c r="A46" s="103">
        <f>342+273</f>
        <v>615</v>
      </c>
      <c r="B46" s="100">
        <v>1.6666666666666667</v>
      </c>
      <c r="C46" s="74">
        <v>8.6E+21</v>
      </c>
      <c r="D46" s="84">
        <v>9.8000000000000007</v>
      </c>
      <c r="E46" s="89" t="s">
        <v>233</v>
      </c>
    </row>
    <row r="47" spans="1:5" ht="16" x14ac:dyDescent="0.2">
      <c r="A47" s="95">
        <v>623</v>
      </c>
      <c r="B47" s="84">
        <v>3.3333333333333333E-2</v>
      </c>
      <c r="C47" s="27">
        <v>8E+20</v>
      </c>
      <c r="D47" s="26">
        <v>10</v>
      </c>
      <c r="E47" s="32" t="s">
        <v>234</v>
      </c>
    </row>
    <row r="48" spans="1:5" x14ac:dyDescent="0.2">
      <c r="A48" s="103">
        <v>623</v>
      </c>
      <c r="B48" s="79">
        <v>1.6666666666666667</v>
      </c>
      <c r="C48" s="74">
        <v>3E+22</v>
      </c>
      <c r="D48" s="84">
        <v>10</v>
      </c>
      <c r="E48" s="89" t="s">
        <v>231</v>
      </c>
    </row>
    <row r="49" spans="1:5" ht="16" x14ac:dyDescent="0.2">
      <c r="A49" s="95">
        <v>623</v>
      </c>
      <c r="B49" s="84">
        <v>8.8333333333333333E-2</v>
      </c>
      <c r="C49" s="27">
        <v>2.7E+21</v>
      </c>
      <c r="D49" s="26">
        <v>23</v>
      </c>
      <c r="E49" s="32" t="s">
        <v>234</v>
      </c>
    </row>
    <row r="50" spans="1:5" ht="16" x14ac:dyDescent="0.2">
      <c r="A50" s="103">
        <v>623</v>
      </c>
      <c r="B50" s="104">
        <v>2</v>
      </c>
      <c r="C50" s="74">
        <v>4.6E+21</v>
      </c>
      <c r="D50" s="84"/>
      <c r="E50" s="32" t="s">
        <v>228</v>
      </c>
    </row>
    <row r="51" spans="1:5" ht="16" x14ac:dyDescent="0.2">
      <c r="A51" s="103">
        <v>623</v>
      </c>
      <c r="B51" s="84">
        <v>0.2</v>
      </c>
      <c r="C51" s="74">
        <v>2.4E+21</v>
      </c>
      <c r="D51" s="84"/>
      <c r="E51" s="32" t="s">
        <v>228</v>
      </c>
    </row>
    <row r="52" spans="1:5" ht="16" x14ac:dyDescent="0.2">
      <c r="A52" s="95">
        <v>668</v>
      </c>
      <c r="B52" s="84">
        <v>5.5000000000000007E-2</v>
      </c>
      <c r="C52" s="27">
        <v>7E+20</v>
      </c>
      <c r="D52" s="26">
        <v>33</v>
      </c>
      <c r="E52" s="32" t="s">
        <v>234</v>
      </c>
    </row>
    <row r="53" spans="1:5" ht="16" x14ac:dyDescent="0.2">
      <c r="A53" s="95">
        <v>668</v>
      </c>
      <c r="B53" s="84">
        <v>0.10666666666666667</v>
      </c>
      <c r="C53" s="27">
        <v>2E+20</v>
      </c>
      <c r="D53" s="26">
        <v>56</v>
      </c>
      <c r="E53" s="32" t="s">
        <v>234</v>
      </c>
    </row>
    <row r="54" spans="1:5" ht="16" x14ac:dyDescent="0.2">
      <c r="A54" s="95">
        <v>668</v>
      </c>
      <c r="B54" s="84">
        <v>0.3</v>
      </c>
      <c r="C54" s="27">
        <v>2E+20</v>
      </c>
      <c r="D54" s="26">
        <v>62</v>
      </c>
      <c r="E54" s="32" t="s">
        <v>234</v>
      </c>
    </row>
    <row r="55" spans="1:5" x14ac:dyDescent="0.2">
      <c r="A55" s="103">
        <f>400+273</f>
        <v>673</v>
      </c>
      <c r="B55" s="100">
        <v>1.6666666666666667</v>
      </c>
      <c r="C55" s="74">
        <v>4E+21</v>
      </c>
      <c r="D55" s="84">
        <v>16.5</v>
      </c>
      <c r="E55" s="89" t="s">
        <v>233</v>
      </c>
    </row>
    <row r="56" spans="1:5" x14ac:dyDescent="0.2">
      <c r="A56" s="103">
        <f>400+273</f>
        <v>673</v>
      </c>
      <c r="B56" s="100">
        <v>1.6666666666666667</v>
      </c>
      <c r="C56" s="74">
        <v>4.8E+21</v>
      </c>
      <c r="D56" s="84">
        <v>18.3</v>
      </c>
      <c r="E56" s="89" t="s">
        <v>233</v>
      </c>
    </row>
    <row r="57" spans="1:5" ht="16" x14ac:dyDescent="0.2">
      <c r="A57" s="95">
        <v>673</v>
      </c>
      <c r="B57" s="62">
        <v>1.67</v>
      </c>
      <c r="C57" s="27">
        <v>9.500000000000001E+21</v>
      </c>
      <c r="D57" s="26">
        <v>20.100000000000001</v>
      </c>
      <c r="E57" s="32" t="s">
        <v>233</v>
      </c>
    </row>
    <row r="58" spans="1:5" x14ac:dyDescent="0.2">
      <c r="A58" s="103">
        <v>673</v>
      </c>
      <c r="B58" s="79">
        <v>1.6666666666666667</v>
      </c>
      <c r="C58" s="74">
        <v>1E+22</v>
      </c>
      <c r="D58" s="84">
        <v>22</v>
      </c>
      <c r="E58" s="89" t="s">
        <v>231</v>
      </c>
    </row>
    <row r="59" spans="1:5" x14ac:dyDescent="0.2">
      <c r="A59" s="103">
        <f>400+273</f>
        <v>673</v>
      </c>
      <c r="B59" s="100">
        <v>1.6666666666666667</v>
      </c>
      <c r="C59" s="74">
        <v>5.1500000000000005E+21</v>
      </c>
      <c r="D59" s="84">
        <v>22.5</v>
      </c>
      <c r="E59" s="89" t="s">
        <v>233</v>
      </c>
    </row>
    <row r="60" spans="1:5" x14ac:dyDescent="0.2">
      <c r="A60" s="103">
        <f>400+273</f>
        <v>673</v>
      </c>
      <c r="B60" s="100">
        <v>1.6666666666666667</v>
      </c>
      <c r="C60" s="74">
        <v>1.9500000000000001E+22</v>
      </c>
      <c r="D60" s="84">
        <v>23.2</v>
      </c>
      <c r="E60" s="89" t="s">
        <v>233</v>
      </c>
    </row>
    <row r="61" spans="1:5" ht="16" x14ac:dyDescent="0.2">
      <c r="A61" s="95">
        <v>673</v>
      </c>
      <c r="B61" s="62">
        <v>1.2333333333333334</v>
      </c>
      <c r="C61" s="27">
        <v>4E+20</v>
      </c>
      <c r="D61" s="26">
        <v>35</v>
      </c>
      <c r="E61" s="32" t="s">
        <v>231</v>
      </c>
    </row>
    <row r="62" spans="1:5" ht="16" x14ac:dyDescent="0.2">
      <c r="A62" s="103">
        <v>673</v>
      </c>
      <c r="B62" s="25">
        <v>2</v>
      </c>
      <c r="C62" s="69"/>
      <c r="D62" s="84">
        <v>37</v>
      </c>
      <c r="E62" s="32" t="s">
        <v>228</v>
      </c>
    </row>
    <row r="63" spans="1:5" ht="16" x14ac:dyDescent="0.2">
      <c r="A63" s="95">
        <v>673</v>
      </c>
      <c r="B63" s="25">
        <v>2</v>
      </c>
      <c r="C63" s="27">
        <v>5E+20</v>
      </c>
      <c r="D63" s="26">
        <v>50</v>
      </c>
      <c r="E63" s="32" t="s">
        <v>228</v>
      </c>
    </row>
    <row r="64" spans="1:5" ht="16" x14ac:dyDescent="0.2">
      <c r="A64" s="95">
        <v>673</v>
      </c>
      <c r="B64" s="62">
        <v>1.8333333333333335</v>
      </c>
      <c r="C64" s="27">
        <v>5E+20</v>
      </c>
      <c r="D64" s="26">
        <v>50</v>
      </c>
      <c r="E64" s="32" t="s">
        <v>231</v>
      </c>
    </row>
    <row r="65" spans="1:5" x14ac:dyDescent="0.2">
      <c r="A65" s="103">
        <f>400+273</f>
        <v>673</v>
      </c>
      <c r="B65" s="100">
        <v>1.6666666666666667</v>
      </c>
      <c r="C65" s="74">
        <v>8.8E+20</v>
      </c>
      <c r="D65" s="84">
        <v>51.9</v>
      </c>
      <c r="E65" s="89" t="s">
        <v>233</v>
      </c>
    </row>
    <row r="66" spans="1:5" x14ac:dyDescent="0.2">
      <c r="A66" s="103">
        <f>400+273</f>
        <v>673</v>
      </c>
      <c r="B66" s="100">
        <v>1.6666666666666667</v>
      </c>
      <c r="C66" s="74">
        <v>8E+20</v>
      </c>
      <c r="D66" s="84">
        <v>53</v>
      </c>
      <c r="E66" s="89" t="s">
        <v>233</v>
      </c>
    </row>
    <row r="67" spans="1:5" ht="16" x14ac:dyDescent="0.2">
      <c r="A67" s="95">
        <v>673</v>
      </c>
      <c r="B67" s="62">
        <v>1.67</v>
      </c>
      <c r="C67" s="27">
        <v>8E+20</v>
      </c>
      <c r="D67" s="26">
        <v>54</v>
      </c>
      <c r="E67" s="32" t="s">
        <v>233</v>
      </c>
    </row>
    <row r="68" spans="1:5" x14ac:dyDescent="0.2">
      <c r="A68" s="103">
        <f>400+273</f>
        <v>673</v>
      </c>
      <c r="B68" s="100">
        <v>1.6666666666666667</v>
      </c>
      <c r="C68" s="74">
        <v>9.4E+20</v>
      </c>
      <c r="D68" s="84">
        <v>54.2</v>
      </c>
      <c r="E68" s="89" t="s">
        <v>233</v>
      </c>
    </row>
    <row r="69" spans="1:5" x14ac:dyDescent="0.2">
      <c r="A69" s="103">
        <f>400+273</f>
        <v>673</v>
      </c>
      <c r="B69" s="100">
        <v>1.6666666666666667</v>
      </c>
      <c r="C69" s="74">
        <v>8E+20</v>
      </c>
      <c r="D69" s="84">
        <v>56.7</v>
      </c>
      <c r="E69" s="89" t="s">
        <v>233</v>
      </c>
    </row>
    <row r="70" spans="1:5" ht="16" x14ac:dyDescent="0.2">
      <c r="A70" s="95">
        <v>673</v>
      </c>
      <c r="B70" s="25">
        <v>2</v>
      </c>
      <c r="C70" s="27">
        <v>2.8E+20</v>
      </c>
      <c r="D70" s="26">
        <v>60</v>
      </c>
      <c r="E70" s="32" t="s">
        <v>228</v>
      </c>
    </row>
    <row r="71" spans="1:5" ht="16" x14ac:dyDescent="0.2">
      <c r="A71" s="95">
        <v>673</v>
      </c>
      <c r="B71" s="62">
        <v>1.2333333333333334</v>
      </c>
      <c r="C71" s="27">
        <v>4E+20</v>
      </c>
      <c r="D71" s="26">
        <v>60</v>
      </c>
      <c r="E71" s="32" t="s">
        <v>231</v>
      </c>
    </row>
    <row r="72" spans="1:5" ht="16" x14ac:dyDescent="0.2">
      <c r="A72" s="103">
        <v>673</v>
      </c>
      <c r="B72" s="104">
        <v>2</v>
      </c>
      <c r="C72" s="74">
        <v>1.4E+21</v>
      </c>
      <c r="D72" s="84"/>
      <c r="E72" s="32" t="s">
        <v>228</v>
      </c>
    </row>
    <row r="73" spans="1:5" ht="16" x14ac:dyDescent="0.2">
      <c r="A73" s="103">
        <v>673</v>
      </c>
      <c r="B73" s="84">
        <v>0.2</v>
      </c>
      <c r="C73" s="74">
        <v>2E+20</v>
      </c>
      <c r="D73" s="84"/>
      <c r="E73" s="32" t="s">
        <v>228</v>
      </c>
    </row>
    <row r="74" spans="1:5" ht="16" x14ac:dyDescent="0.2">
      <c r="A74" s="105">
        <v>723</v>
      </c>
      <c r="B74" s="106">
        <v>2</v>
      </c>
      <c r="C74" s="78">
        <v>1.8E+20</v>
      </c>
      <c r="D74" s="86"/>
      <c r="E74" s="101" t="s">
        <v>228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7F493-14CF-9146-9751-132FCA9F15A9}">
  <dimension ref="A1:E6"/>
  <sheetViews>
    <sheetView workbookViewId="0">
      <selection activeCell="C23" sqref="C23"/>
    </sheetView>
  </sheetViews>
  <sheetFormatPr baseColWidth="10" defaultRowHeight="15" x14ac:dyDescent="0.2"/>
  <cols>
    <col min="1" max="1" width="12.33203125" customWidth="1"/>
    <col min="2" max="2" width="12.83203125" customWidth="1"/>
    <col min="3" max="3" width="24" customWidth="1"/>
    <col min="4" max="4" width="16.83203125" customWidth="1"/>
    <col min="5" max="5" width="24.33203125" customWidth="1"/>
  </cols>
  <sheetData>
    <row r="1" spans="1:5" ht="16" x14ac:dyDescent="0.2">
      <c r="A1" s="93" t="s">
        <v>220</v>
      </c>
      <c r="B1" s="92" t="s">
        <v>176</v>
      </c>
      <c r="C1" s="92" t="s">
        <v>222</v>
      </c>
      <c r="D1" s="92" t="s">
        <v>223</v>
      </c>
      <c r="E1" s="30" t="s">
        <v>224</v>
      </c>
    </row>
    <row r="2" spans="1:5" ht="16" x14ac:dyDescent="0.2">
      <c r="A2" s="94">
        <v>583</v>
      </c>
      <c r="B2" s="21">
        <v>14</v>
      </c>
      <c r="C2" s="22">
        <v>1.2E+21</v>
      </c>
      <c r="D2" s="21">
        <v>150</v>
      </c>
      <c r="E2" s="31" t="s">
        <v>241</v>
      </c>
    </row>
    <row r="3" spans="1:5" ht="16" x14ac:dyDescent="0.2">
      <c r="A3" s="95">
        <v>583</v>
      </c>
      <c r="B3" s="26">
        <v>35</v>
      </c>
      <c r="C3" s="27">
        <v>1.17E+21</v>
      </c>
      <c r="D3" s="26">
        <v>150</v>
      </c>
      <c r="E3" s="32" t="s">
        <v>241</v>
      </c>
    </row>
    <row r="4" spans="1:5" ht="16" x14ac:dyDescent="0.2">
      <c r="A4" s="94">
        <v>573</v>
      </c>
      <c r="B4" s="21">
        <v>14.5</v>
      </c>
      <c r="C4" s="22">
        <v>3E+20</v>
      </c>
      <c r="D4" s="21">
        <v>120</v>
      </c>
      <c r="E4" s="31" t="s">
        <v>236</v>
      </c>
    </row>
    <row r="5" spans="1:5" ht="16" x14ac:dyDescent="0.2">
      <c r="A5" s="95">
        <v>573</v>
      </c>
      <c r="B5" s="26">
        <v>15.8</v>
      </c>
      <c r="C5" s="27">
        <v>5.5E+20</v>
      </c>
      <c r="D5" s="26">
        <v>95</v>
      </c>
      <c r="E5" s="32" t="s">
        <v>236</v>
      </c>
    </row>
    <row r="6" spans="1:5" ht="16" x14ac:dyDescent="0.2">
      <c r="A6" s="96">
        <v>573</v>
      </c>
      <c r="B6" s="97">
        <v>24.5</v>
      </c>
      <c r="C6" s="98">
        <v>8E+20</v>
      </c>
      <c r="D6" s="97">
        <v>95</v>
      </c>
      <c r="E6" s="60" t="s">
        <v>236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5F1A8-106C-0141-8E59-0671F0D96054}">
  <dimension ref="A1:I46"/>
  <sheetViews>
    <sheetView zoomScale="81" workbookViewId="0">
      <selection activeCell="E33" sqref="E33"/>
    </sheetView>
  </sheetViews>
  <sheetFormatPr baseColWidth="10" defaultRowHeight="14" x14ac:dyDescent="0.15"/>
  <cols>
    <col min="1" max="1" width="15.6640625" style="37" customWidth="1"/>
    <col min="2" max="2" width="19.33203125" style="37" customWidth="1"/>
    <col min="3" max="3" width="19.33203125" style="38" customWidth="1"/>
    <col min="4" max="4" width="12.83203125" style="38" customWidth="1"/>
    <col min="5" max="5" width="12.33203125" style="38" customWidth="1"/>
    <col min="6" max="6" width="13.33203125" style="38" customWidth="1"/>
    <col min="7" max="7" width="24" style="38" customWidth="1"/>
    <col min="8" max="8" width="16.83203125" style="38" customWidth="1"/>
    <col min="9" max="9" width="32.5" style="37" customWidth="1"/>
    <col min="10" max="16384" width="10.83203125" style="37"/>
  </cols>
  <sheetData>
    <row r="1" spans="1:9" ht="16" x14ac:dyDescent="0.2">
      <c r="A1" s="56" t="s">
        <v>218</v>
      </c>
      <c r="B1" s="34" t="s">
        <v>219</v>
      </c>
      <c r="C1" s="35" t="s">
        <v>243</v>
      </c>
      <c r="D1" s="35" t="s">
        <v>176</v>
      </c>
      <c r="E1" s="35" t="s">
        <v>220</v>
      </c>
      <c r="F1" s="35" t="s">
        <v>221</v>
      </c>
      <c r="G1" s="35" t="s">
        <v>222</v>
      </c>
      <c r="H1" s="35" t="s">
        <v>223</v>
      </c>
      <c r="I1" s="36" t="s">
        <v>224</v>
      </c>
    </row>
    <row r="2" spans="1:9" ht="16" x14ac:dyDescent="0.2">
      <c r="A2" s="52" t="s">
        <v>225</v>
      </c>
      <c r="B2" s="19" t="s">
        <v>226</v>
      </c>
      <c r="C2" s="21"/>
      <c r="D2" s="48">
        <v>0.13333333333333333</v>
      </c>
      <c r="E2" s="21">
        <v>473</v>
      </c>
      <c r="F2" s="21" t="s">
        <v>227</v>
      </c>
      <c r="G2" s="22">
        <v>2.1500000000000001E+22</v>
      </c>
      <c r="H2" s="21">
        <v>8.1</v>
      </c>
      <c r="I2" s="31" t="s">
        <v>231</v>
      </c>
    </row>
    <row r="3" spans="1:9" ht="16" x14ac:dyDescent="0.2">
      <c r="A3" s="53" t="s">
        <v>225</v>
      </c>
      <c r="B3" s="24" t="s">
        <v>226</v>
      </c>
      <c r="C3" s="26"/>
      <c r="D3" s="62">
        <v>0.3</v>
      </c>
      <c r="E3" s="26">
        <v>500</v>
      </c>
      <c r="F3" s="26" t="s">
        <v>227</v>
      </c>
      <c r="G3" s="27">
        <v>1.8E+22</v>
      </c>
      <c r="H3" s="26">
        <v>17.5</v>
      </c>
      <c r="I3" s="32" t="s">
        <v>232</v>
      </c>
    </row>
    <row r="4" spans="1:9" ht="16" x14ac:dyDescent="0.2">
      <c r="A4" s="52" t="s">
        <v>229</v>
      </c>
      <c r="B4" s="19" t="s">
        <v>226</v>
      </c>
      <c r="C4" s="21"/>
      <c r="D4" s="48">
        <v>0.52</v>
      </c>
      <c r="E4" s="21">
        <v>523</v>
      </c>
      <c r="F4" s="21" t="s">
        <v>227</v>
      </c>
      <c r="G4" s="22">
        <v>3.4E+22</v>
      </c>
      <c r="H4" s="21">
        <v>8.5</v>
      </c>
      <c r="I4" s="31" t="s">
        <v>233</v>
      </c>
    </row>
    <row r="5" spans="1:9" ht="16" x14ac:dyDescent="0.2">
      <c r="A5" s="54" t="s">
        <v>225</v>
      </c>
      <c r="B5" s="40" t="s">
        <v>226</v>
      </c>
      <c r="C5" s="41"/>
      <c r="D5" s="63">
        <v>1.8333333333333335</v>
      </c>
      <c r="E5" s="41">
        <v>573</v>
      </c>
      <c r="F5" s="41" t="s">
        <v>227</v>
      </c>
      <c r="G5" s="42">
        <v>5E+21</v>
      </c>
      <c r="H5" s="41">
        <v>18.600000000000001</v>
      </c>
      <c r="I5" s="59" t="s">
        <v>231</v>
      </c>
    </row>
    <row r="6" spans="1:9" ht="16" x14ac:dyDescent="0.2">
      <c r="A6" s="52" t="s">
        <v>229</v>
      </c>
      <c r="B6" s="19" t="s">
        <v>226</v>
      </c>
      <c r="C6" s="21"/>
      <c r="D6" s="48">
        <v>0.28833333333333333</v>
      </c>
      <c r="E6" s="21">
        <v>573</v>
      </c>
      <c r="F6" s="21" t="s">
        <v>227</v>
      </c>
      <c r="G6" s="22">
        <v>6E+21</v>
      </c>
      <c r="H6" s="21">
        <v>14.5</v>
      </c>
      <c r="I6" s="31" t="s">
        <v>231</v>
      </c>
    </row>
    <row r="7" spans="1:9" ht="16" x14ac:dyDescent="0.2">
      <c r="A7" s="53" t="s">
        <v>229</v>
      </c>
      <c r="B7" s="24" t="s">
        <v>226</v>
      </c>
      <c r="C7" s="26"/>
      <c r="D7" s="62">
        <v>3.3333333333333335</v>
      </c>
      <c r="E7" s="26">
        <v>573</v>
      </c>
      <c r="F7" s="26" t="s">
        <v>227</v>
      </c>
      <c r="G7" s="27">
        <v>2.6E+22</v>
      </c>
      <c r="H7" s="26">
        <v>10</v>
      </c>
      <c r="I7" s="32" t="s">
        <v>231</v>
      </c>
    </row>
    <row r="8" spans="1:9" ht="16" x14ac:dyDescent="0.2">
      <c r="A8" s="52" t="s">
        <v>229</v>
      </c>
      <c r="B8" s="19" t="s">
        <v>226</v>
      </c>
      <c r="C8" s="21"/>
      <c r="D8" s="48">
        <v>1.5</v>
      </c>
      <c r="E8" s="21">
        <v>573</v>
      </c>
      <c r="F8" s="21" t="s">
        <v>227</v>
      </c>
      <c r="G8" s="22">
        <v>2.8E+22</v>
      </c>
      <c r="H8" s="21">
        <v>9</v>
      </c>
      <c r="I8" s="31" t="s">
        <v>231</v>
      </c>
    </row>
    <row r="9" spans="1:9" ht="16" x14ac:dyDescent="0.2">
      <c r="A9" s="53" t="s">
        <v>229</v>
      </c>
      <c r="B9" s="24" t="s">
        <v>226</v>
      </c>
      <c r="C9" s="26"/>
      <c r="D9" s="62">
        <v>0.5</v>
      </c>
      <c r="E9" s="26">
        <v>573</v>
      </c>
      <c r="F9" s="26" t="s">
        <v>227</v>
      </c>
      <c r="G9" s="27">
        <v>2.8E+22</v>
      </c>
      <c r="H9" s="26">
        <v>7.5</v>
      </c>
      <c r="I9" s="32" t="s">
        <v>231</v>
      </c>
    </row>
    <row r="10" spans="1:9" ht="16" x14ac:dyDescent="0.2">
      <c r="A10" s="52" t="s">
        <v>229</v>
      </c>
      <c r="B10" s="19" t="s">
        <v>226</v>
      </c>
      <c r="C10" s="21"/>
      <c r="D10" s="48">
        <v>0.5</v>
      </c>
      <c r="E10" s="21">
        <v>573</v>
      </c>
      <c r="F10" s="21" t="s">
        <v>227</v>
      </c>
      <c r="G10" s="22">
        <v>2.8E+22</v>
      </c>
      <c r="H10" s="21">
        <v>6.8</v>
      </c>
      <c r="I10" s="31" t="s">
        <v>231</v>
      </c>
    </row>
    <row r="11" spans="1:9" ht="16" x14ac:dyDescent="0.2">
      <c r="A11" s="53" t="s">
        <v>230</v>
      </c>
      <c r="B11" s="24" t="s">
        <v>226</v>
      </c>
      <c r="C11" s="26"/>
      <c r="D11" s="62">
        <v>0.66666666666666663</v>
      </c>
      <c r="E11" s="26">
        <v>573</v>
      </c>
      <c r="F11" s="26" t="s">
        <v>227</v>
      </c>
      <c r="G11" s="27">
        <v>3.6999999999999998E+22</v>
      </c>
      <c r="H11" s="26">
        <v>7</v>
      </c>
      <c r="I11" s="32" t="s">
        <v>231</v>
      </c>
    </row>
    <row r="12" spans="1:9" ht="16" x14ac:dyDescent="0.2">
      <c r="A12" s="52" t="s">
        <v>230</v>
      </c>
      <c r="B12" s="19" t="s">
        <v>226</v>
      </c>
      <c r="C12" s="21"/>
      <c r="D12" s="48">
        <v>0.125</v>
      </c>
      <c r="E12" s="21">
        <v>573</v>
      </c>
      <c r="F12" s="21" t="s">
        <v>227</v>
      </c>
      <c r="G12" s="22">
        <v>2.0999999999999998E+22</v>
      </c>
      <c r="H12" s="21">
        <v>5.8</v>
      </c>
      <c r="I12" s="31" t="s">
        <v>231</v>
      </c>
    </row>
    <row r="13" spans="1:9" x14ac:dyDescent="0.15">
      <c r="A13" s="64"/>
      <c r="B13" s="69" t="s">
        <v>226</v>
      </c>
      <c r="C13" s="74">
        <v>4.9999999999999999E+23</v>
      </c>
      <c r="D13" s="79">
        <f>Table3[[#This Row],[Fluence (n/m^2)]]/6E+24</f>
        <v>8.3333333333333329E-2</v>
      </c>
      <c r="E13" s="84">
        <v>573</v>
      </c>
      <c r="F13" s="84" t="s">
        <v>227</v>
      </c>
      <c r="G13" s="74">
        <v>1E+22</v>
      </c>
      <c r="H13" s="84">
        <v>4.5</v>
      </c>
      <c r="I13" s="89" t="s">
        <v>231</v>
      </c>
    </row>
    <row r="14" spans="1:9" x14ac:dyDescent="0.15">
      <c r="A14" s="66"/>
      <c r="B14" s="71" t="s">
        <v>226</v>
      </c>
      <c r="C14" s="76">
        <v>7.9999999999999993E+23</v>
      </c>
      <c r="D14" s="81">
        <f>Table3[[#This Row],[Fluence (n/m^2)]]/6E+24</f>
        <v>0.13333333333333333</v>
      </c>
      <c r="E14" s="85">
        <v>573</v>
      </c>
      <c r="F14" s="85" t="s">
        <v>227</v>
      </c>
      <c r="G14" s="76">
        <v>2.4999999999999998E+22</v>
      </c>
      <c r="H14" s="85">
        <v>5.8</v>
      </c>
      <c r="I14" s="91" t="s">
        <v>231</v>
      </c>
    </row>
    <row r="15" spans="1:9" x14ac:dyDescent="0.15">
      <c r="A15" s="64"/>
      <c r="B15" s="69" t="s">
        <v>226</v>
      </c>
      <c r="C15" s="74">
        <v>1.5E+24</v>
      </c>
      <c r="D15" s="79">
        <f>Table3[[#This Row],[Fluence (n/m^2)]]/6E+24</f>
        <v>0.25</v>
      </c>
      <c r="E15" s="84">
        <v>573</v>
      </c>
      <c r="F15" s="84" t="s">
        <v>227</v>
      </c>
      <c r="G15" s="74">
        <v>3.6E+22</v>
      </c>
      <c r="H15" s="84">
        <v>7</v>
      </c>
      <c r="I15" s="89" t="s">
        <v>231</v>
      </c>
    </row>
    <row r="16" spans="1:9" x14ac:dyDescent="0.15">
      <c r="A16" s="64"/>
      <c r="B16" s="69" t="s">
        <v>226</v>
      </c>
      <c r="C16" s="74">
        <v>2E+24</v>
      </c>
      <c r="D16" s="79">
        <f>Table3[[#This Row],[Fluence (n/m^2)]]/6E+24</f>
        <v>0.33333333333333331</v>
      </c>
      <c r="E16" s="84">
        <v>573</v>
      </c>
      <c r="F16" s="84" t="s">
        <v>227</v>
      </c>
      <c r="G16" s="74">
        <v>3E+22</v>
      </c>
      <c r="H16" s="84">
        <v>6.4</v>
      </c>
      <c r="I16" s="89" t="s">
        <v>231</v>
      </c>
    </row>
    <row r="17" spans="1:9" x14ac:dyDescent="0.15">
      <c r="A17" s="66"/>
      <c r="B17" s="71" t="s">
        <v>226</v>
      </c>
      <c r="C17" s="76">
        <v>4E+22</v>
      </c>
      <c r="D17" s="81">
        <f>Table3[[#This Row],[Fluence (n/m^2)]]/6E+24</f>
        <v>6.6666666666666671E-3</v>
      </c>
      <c r="E17" s="85">
        <v>573</v>
      </c>
      <c r="F17" s="85" t="s">
        <v>227</v>
      </c>
      <c r="G17" s="76">
        <v>2.8E+22</v>
      </c>
      <c r="H17" s="85">
        <v>6.6</v>
      </c>
      <c r="I17" s="89" t="s">
        <v>231</v>
      </c>
    </row>
    <row r="18" spans="1:9" x14ac:dyDescent="0.15">
      <c r="A18" s="68"/>
      <c r="B18" s="73" t="s">
        <v>226</v>
      </c>
      <c r="C18" s="78">
        <v>8.9999999999999996E+22</v>
      </c>
      <c r="D18" s="83">
        <f>Table3[[#This Row],[Fluence (n/m^2)]]/6E+24</f>
        <v>1.4999999999999999E-2</v>
      </c>
      <c r="E18" s="86">
        <v>573</v>
      </c>
      <c r="F18" s="86" t="s">
        <v>227</v>
      </c>
      <c r="G18" s="78">
        <v>3E+22</v>
      </c>
      <c r="H18" s="86">
        <v>6.8</v>
      </c>
      <c r="I18" s="90" t="s">
        <v>231</v>
      </c>
    </row>
    <row r="19" spans="1:9" x14ac:dyDescent="0.15">
      <c r="B19" s="37" t="s">
        <v>226</v>
      </c>
      <c r="C19" s="58">
        <v>1.9999999999999998E+23</v>
      </c>
      <c r="D19" s="61">
        <f>Table3[[#This Row],[Fluence (n/m^2)]]/6E+24</f>
        <v>3.3333333333333333E-2</v>
      </c>
      <c r="E19" s="38">
        <v>573</v>
      </c>
      <c r="F19" s="38" t="s">
        <v>227</v>
      </c>
      <c r="G19" s="58">
        <v>2.7000000000000002E+22</v>
      </c>
      <c r="H19" s="38">
        <v>7.2</v>
      </c>
      <c r="I19" s="37" t="s">
        <v>231</v>
      </c>
    </row>
    <row r="20" spans="1:9" x14ac:dyDescent="0.15">
      <c r="B20" s="37" t="s">
        <v>226</v>
      </c>
      <c r="C20" s="58">
        <v>7.9999999999999993E+23</v>
      </c>
      <c r="D20" s="61">
        <f>Table3[[#This Row],[Fluence (n/m^2)]]/6E+24</f>
        <v>0.13333333333333333</v>
      </c>
      <c r="E20" s="38">
        <v>573</v>
      </c>
      <c r="F20" s="38" t="s">
        <v>227</v>
      </c>
      <c r="G20" s="58">
        <v>2.4999999999999998E+22</v>
      </c>
      <c r="H20" s="38">
        <v>7</v>
      </c>
      <c r="I20" s="37" t="s">
        <v>231</v>
      </c>
    </row>
    <row r="21" spans="1:9" x14ac:dyDescent="0.15">
      <c r="B21" s="37" t="s">
        <v>226</v>
      </c>
      <c r="C21" s="58">
        <v>9.9999999999999998E+23</v>
      </c>
      <c r="D21" s="61">
        <f>Table3[[#This Row],[Fluence (n/m^2)]]/6E+24</f>
        <v>0.16666666666666666</v>
      </c>
      <c r="E21" s="38">
        <v>573</v>
      </c>
      <c r="F21" s="38" t="s">
        <v>227</v>
      </c>
      <c r="G21" s="58">
        <v>2.2E+22</v>
      </c>
      <c r="H21" s="38">
        <v>7.5</v>
      </c>
      <c r="I21" s="37" t="s">
        <v>231</v>
      </c>
    </row>
    <row r="22" spans="1:9" x14ac:dyDescent="0.15">
      <c r="A22" s="37" t="s">
        <v>229</v>
      </c>
      <c r="B22" s="37" t="s">
        <v>226</v>
      </c>
      <c r="C22" s="58">
        <v>1.5E+24</v>
      </c>
      <c r="D22" s="99">
        <f>Table3[[#This Row],[Fluence (n/m^2)]]/6E+24</f>
        <v>0.25</v>
      </c>
      <c r="E22" s="38">
        <v>575</v>
      </c>
      <c r="F22" s="38" t="s">
        <v>227</v>
      </c>
      <c r="G22" s="58">
        <v>4.1999999999999996E+22</v>
      </c>
      <c r="H22" s="38">
        <v>8</v>
      </c>
      <c r="I22" s="37" t="s">
        <v>246</v>
      </c>
    </row>
    <row r="23" spans="1:9" ht="16" x14ac:dyDescent="0.2">
      <c r="A23" s="65" t="s">
        <v>229</v>
      </c>
      <c r="B23" s="70" t="s">
        <v>226</v>
      </c>
      <c r="C23" s="75"/>
      <c r="D23" s="80">
        <v>1.67</v>
      </c>
      <c r="E23" s="75">
        <v>615</v>
      </c>
      <c r="F23" s="75" t="s">
        <v>227</v>
      </c>
      <c r="G23" s="87">
        <v>1.9000000000000002E+22</v>
      </c>
      <c r="H23" s="75">
        <v>8.6999999999999993</v>
      </c>
      <c r="I23" s="70" t="s">
        <v>233</v>
      </c>
    </row>
    <row r="24" spans="1:9" x14ac:dyDescent="0.15">
      <c r="A24" s="37" t="s">
        <v>229</v>
      </c>
      <c r="B24" s="37" t="s">
        <v>226</v>
      </c>
      <c r="C24" s="58">
        <v>1.0000000000000001E+25</v>
      </c>
      <c r="D24" s="99">
        <f>Table3[[#This Row],[Fluence (n/m^2)]]/6E+24</f>
        <v>1.6666666666666667</v>
      </c>
      <c r="E24" s="38">
        <f>342+273</f>
        <v>615</v>
      </c>
      <c r="F24" s="38" t="s">
        <v>227</v>
      </c>
      <c r="G24" s="58">
        <v>8.6E+21</v>
      </c>
      <c r="H24" s="38">
        <v>9.8000000000000007</v>
      </c>
      <c r="I24" s="37" t="s">
        <v>233</v>
      </c>
    </row>
    <row r="25" spans="1:9" x14ac:dyDescent="0.15">
      <c r="A25" s="37" t="s">
        <v>229</v>
      </c>
      <c r="B25" s="37" t="s">
        <v>226</v>
      </c>
      <c r="C25" s="58">
        <v>1.0000000000000001E+25</v>
      </c>
      <c r="D25" s="99">
        <f>Table3[[#This Row],[Fluence (n/m^2)]]/6E+24</f>
        <v>1.6666666666666667</v>
      </c>
      <c r="E25" s="38">
        <f>342+273</f>
        <v>615</v>
      </c>
      <c r="F25" s="38" t="s">
        <v>227</v>
      </c>
      <c r="G25" s="58">
        <v>3.2E+22</v>
      </c>
      <c r="H25" s="38">
        <v>8.3000000000000007</v>
      </c>
      <c r="I25" s="37" t="s">
        <v>233</v>
      </c>
    </row>
    <row r="26" spans="1:9" x14ac:dyDescent="0.15">
      <c r="A26" s="37" t="s">
        <v>229</v>
      </c>
      <c r="B26" s="37" t="s">
        <v>226</v>
      </c>
      <c r="C26" s="58">
        <v>1.0000000000000001E+25</v>
      </c>
      <c r="D26" s="99">
        <f>Table3[[#This Row],[Fluence (n/m^2)]]/6E+24</f>
        <v>1.6666666666666667</v>
      </c>
      <c r="E26" s="38">
        <f>342+273</f>
        <v>615</v>
      </c>
      <c r="F26" s="38" t="s">
        <v>227</v>
      </c>
      <c r="G26" s="58">
        <v>1.6E+22</v>
      </c>
      <c r="H26" s="38">
        <v>8.5</v>
      </c>
      <c r="I26" s="37" t="s">
        <v>233</v>
      </c>
    </row>
    <row r="27" spans="1:9" x14ac:dyDescent="0.15">
      <c r="A27" s="37" t="s">
        <v>229</v>
      </c>
      <c r="B27" s="37" t="s">
        <v>226</v>
      </c>
      <c r="C27" s="58">
        <v>1.0000000000000001E+25</v>
      </c>
      <c r="D27" s="99">
        <f>Table3[[#This Row],[Fluence (n/m^2)]]/6E+24</f>
        <v>1.6666666666666667</v>
      </c>
      <c r="E27" s="38">
        <f>342+273</f>
        <v>615</v>
      </c>
      <c r="F27" s="38" t="s">
        <v>227</v>
      </c>
      <c r="G27" s="58">
        <v>4.8E+22</v>
      </c>
      <c r="H27" s="38">
        <v>8.1</v>
      </c>
      <c r="I27" s="37" t="s">
        <v>233</v>
      </c>
    </row>
    <row r="28" spans="1:9" x14ac:dyDescent="0.15">
      <c r="B28" s="37" t="s">
        <v>226</v>
      </c>
      <c r="C28" s="58">
        <v>1.0000000000000001E+25</v>
      </c>
      <c r="D28" s="61">
        <f>Table3[[#This Row],[Fluence (n/m^2)]]/6E+24</f>
        <v>1.6666666666666667</v>
      </c>
      <c r="E28" s="38">
        <v>623</v>
      </c>
      <c r="F28" s="38" t="s">
        <v>227</v>
      </c>
      <c r="G28" s="58">
        <v>3E+22</v>
      </c>
      <c r="H28" s="38">
        <v>10</v>
      </c>
      <c r="I28" s="37" t="s">
        <v>231</v>
      </c>
    </row>
    <row r="29" spans="1:9" ht="16" x14ac:dyDescent="0.2">
      <c r="A29" s="67" t="s">
        <v>225</v>
      </c>
      <c r="B29" s="72" t="s">
        <v>226</v>
      </c>
      <c r="C29" s="77"/>
      <c r="D29" s="82">
        <v>1.8333333333333335</v>
      </c>
      <c r="E29" s="77">
        <v>673</v>
      </c>
      <c r="F29" s="77" t="s">
        <v>227</v>
      </c>
      <c r="G29" s="88">
        <v>5E+20</v>
      </c>
      <c r="H29" s="77">
        <v>50</v>
      </c>
      <c r="I29" s="72" t="s">
        <v>231</v>
      </c>
    </row>
    <row r="30" spans="1:9" ht="16" x14ac:dyDescent="0.2">
      <c r="A30" s="65" t="s">
        <v>225</v>
      </c>
      <c r="B30" s="70" t="s">
        <v>226</v>
      </c>
      <c r="C30" s="75"/>
      <c r="D30" s="80">
        <v>1.2333333333333334</v>
      </c>
      <c r="E30" s="75">
        <v>673</v>
      </c>
      <c r="F30" s="75" t="s">
        <v>227</v>
      </c>
      <c r="G30" s="87">
        <v>4E+20</v>
      </c>
      <c r="H30" s="75">
        <v>35</v>
      </c>
      <c r="I30" s="70" t="s">
        <v>231</v>
      </c>
    </row>
    <row r="31" spans="1:9" ht="16" x14ac:dyDescent="0.2">
      <c r="A31" s="67" t="s">
        <v>229</v>
      </c>
      <c r="B31" s="72" t="s">
        <v>226</v>
      </c>
      <c r="C31" s="77"/>
      <c r="D31" s="82">
        <v>1.2333333333333334</v>
      </c>
      <c r="E31" s="77">
        <v>673</v>
      </c>
      <c r="F31" s="77" t="s">
        <v>227</v>
      </c>
      <c r="G31" s="88">
        <v>4E+20</v>
      </c>
      <c r="H31" s="77">
        <v>60</v>
      </c>
      <c r="I31" s="72" t="s">
        <v>231</v>
      </c>
    </row>
    <row r="32" spans="1:9" ht="16" x14ac:dyDescent="0.2">
      <c r="A32" s="65" t="s">
        <v>225</v>
      </c>
      <c r="B32" s="70" t="s">
        <v>226</v>
      </c>
      <c r="C32" s="75"/>
      <c r="D32" s="80">
        <v>1.67</v>
      </c>
      <c r="E32" s="75">
        <v>673</v>
      </c>
      <c r="F32" s="75" t="s">
        <v>227</v>
      </c>
      <c r="G32" s="87">
        <v>8E+20</v>
      </c>
      <c r="H32" s="75">
        <v>54</v>
      </c>
      <c r="I32" s="70" t="s">
        <v>233</v>
      </c>
    </row>
    <row r="33" spans="1:9" ht="16" x14ac:dyDescent="0.2">
      <c r="A33" s="67" t="s">
        <v>229</v>
      </c>
      <c r="B33" s="72" t="s">
        <v>226</v>
      </c>
      <c r="C33" s="77"/>
      <c r="D33" s="82">
        <v>1.67</v>
      </c>
      <c r="E33" s="77">
        <v>673</v>
      </c>
      <c r="F33" s="77" t="s">
        <v>227</v>
      </c>
      <c r="G33" s="88">
        <v>9.500000000000001E+21</v>
      </c>
      <c r="H33" s="77">
        <v>20.100000000000001</v>
      </c>
      <c r="I33" s="72" t="s">
        <v>233</v>
      </c>
    </row>
    <row r="34" spans="1:9" x14ac:dyDescent="0.15">
      <c r="B34" s="37" t="s">
        <v>226</v>
      </c>
      <c r="C34" s="58">
        <v>1.0000000000000001E+25</v>
      </c>
      <c r="D34" s="61">
        <f>Table3[[#This Row],[Fluence (n/m^2)]]/6E+24</f>
        <v>1.6666666666666667</v>
      </c>
      <c r="E34" s="38">
        <v>673</v>
      </c>
      <c r="F34" s="38" t="s">
        <v>227</v>
      </c>
      <c r="G34" s="58">
        <v>1E+22</v>
      </c>
      <c r="H34" s="38">
        <v>22</v>
      </c>
      <c r="I34" s="37" t="s">
        <v>231</v>
      </c>
    </row>
    <row r="35" spans="1:9" x14ac:dyDescent="0.15">
      <c r="A35" s="37" t="s">
        <v>225</v>
      </c>
      <c r="B35" s="37" t="s">
        <v>226</v>
      </c>
      <c r="C35" s="58">
        <v>1.0000000000000001E+25</v>
      </c>
      <c r="D35" s="99">
        <f>Table3[[#This Row],[Fluence (n/m^2)]]/6E+24</f>
        <v>1.6666666666666667</v>
      </c>
      <c r="E35" s="38">
        <f t="shared" ref="E35:E42" si="0">400+273</f>
        <v>673</v>
      </c>
      <c r="F35" s="38" t="s">
        <v>227</v>
      </c>
      <c r="G35" s="58">
        <v>8E+20</v>
      </c>
      <c r="H35" s="38">
        <v>56.7</v>
      </c>
      <c r="I35" s="37" t="s">
        <v>233</v>
      </c>
    </row>
    <row r="36" spans="1:9" x14ac:dyDescent="0.15">
      <c r="A36" s="37" t="s">
        <v>225</v>
      </c>
      <c r="B36" s="37" t="s">
        <v>226</v>
      </c>
      <c r="C36" s="58">
        <v>1.0000000000000001E+25</v>
      </c>
      <c r="D36" s="99">
        <f>Table3[[#This Row],[Fluence (n/m^2)]]/6E+24</f>
        <v>1.6666666666666667</v>
      </c>
      <c r="E36" s="38">
        <f t="shared" si="0"/>
        <v>673</v>
      </c>
      <c r="F36" s="38" t="s">
        <v>227</v>
      </c>
      <c r="G36" s="58">
        <v>8.8E+20</v>
      </c>
      <c r="H36" s="38">
        <v>51.9</v>
      </c>
      <c r="I36" s="37" t="s">
        <v>233</v>
      </c>
    </row>
    <row r="37" spans="1:9" x14ac:dyDescent="0.15">
      <c r="A37" s="37" t="s">
        <v>225</v>
      </c>
      <c r="B37" s="37" t="s">
        <v>226</v>
      </c>
      <c r="C37" s="58">
        <v>1.0000000000000001E+25</v>
      </c>
      <c r="D37" s="99">
        <f>Table3[[#This Row],[Fluence (n/m^2)]]/6E+24</f>
        <v>1.6666666666666667</v>
      </c>
      <c r="E37" s="38">
        <f t="shared" si="0"/>
        <v>673</v>
      </c>
      <c r="F37" s="38" t="s">
        <v>227</v>
      </c>
      <c r="G37" s="58">
        <v>8E+20</v>
      </c>
      <c r="H37" s="38">
        <v>53</v>
      </c>
      <c r="I37" s="37" t="s">
        <v>233</v>
      </c>
    </row>
    <row r="38" spans="1:9" x14ac:dyDescent="0.15">
      <c r="A38" s="37" t="s">
        <v>225</v>
      </c>
      <c r="B38" s="37" t="s">
        <v>226</v>
      </c>
      <c r="C38" s="58">
        <v>1.0000000000000001E+25</v>
      </c>
      <c r="D38" s="99">
        <f>Table3[[#This Row],[Fluence (n/m^2)]]/6E+24</f>
        <v>1.6666666666666667</v>
      </c>
      <c r="E38" s="38">
        <f t="shared" si="0"/>
        <v>673</v>
      </c>
      <c r="F38" s="38" t="s">
        <v>227</v>
      </c>
      <c r="G38" s="58">
        <v>9.4E+20</v>
      </c>
      <c r="H38" s="38">
        <v>54.2</v>
      </c>
      <c r="I38" s="37" t="s">
        <v>233</v>
      </c>
    </row>
    <row r="39" spans="1:9" x14ac:dyDescent="0.15">
      <c r="A39" s="37" t="s">
        <v>229</v>
      </c>
      <c r="B39" s="37" t="s">
        <v>226</v>
      </c>
      <c r="C39" s="58">
        <v>1.0000000000000001E+25</v>
      </c>
      <c r="D39" s="99">
        <f>Table3[[#This Row],[Fluence (n/m^2)]]/6E+24</f>
        <v>1.6666666666666667</v>
      </c>
      <c r="E39" s="38">
        <f t="shared" si="0"/>
        <v>673</v>
      </c>
      <c r="F39" s="38" t="s">
        <v>227</v>
      </c>
      <c r="G39" s="58">
        <v>5.1500000000000005E+21</v>
      </c>
      <c r="H39" s="38">
        <v>22.5</v>
      </c>
      <c r="I39" s="37" t="s">
        <v>233</v>
      </c>
    </row>
    <row r="40" spans="1:9" x14ac:dyDescent="0.15">
      <c r="A40" s="37" t="s">
        <v>229</v>
      </c>
      <c r="B40" s="37" t="s">
        <v>226</v>
      </c>
      <c r="C40" s="58">
        <v>1.0000000000000001E+25</v>
      </c>
      <c r="D40" s="99">
        <f>Table3[[#This Row],[Fluence (n/m^2)]]/6E+24</f>
        <v>1.6666666666666667</v>
      </c>
      <c r="E40" s="38">
        <f t="shared" si="0"/>
        <v>673</v>
      </c>
      <c r="F40" s="38" t="s">
        <v>227</v>
      </c>
      <c r="G40" s="58">
        <v>1.9500000000000001E+22</v>
      </c>
      <c r="H40" s="38">
        <v>23.2</v>
      </c>
      <c r="I40" s="37" t="s">
        <v>233</v>
      </c>
    </row>
    <row r="41" spans="1:9" x14ac:dyDescent="0.15">
      <c r="A41" s="37" t="s">
        <v>229</v>
      </c>
      <c r="B41" s="37" t="s">
        <v>226</v>
      </c>
      <c r="C41" s="58">
        <v>1.0000000000000001E+25</v>
      </c>
      <c r="D41" s="99">
        <f>Table3[[#This Row],[Fluence (n/m^2)]]/6E+24</f>
        <v>1.6666666666666667</v>
      </c>
      <c r="E41" s="38">
        <f t="shared" si="0"/>
        <v>673</v>
      </c>
      <c r="F41" s="38" t="s">
        <v>227</v>
      </c>
      <c r="G41" s="58">
        <v>4E+21</v>
      </c>
      <c r="H41" s="38">
        <v>16.5</v>
      </c>
      <c r="I41" s="37" t="s">
        <v>233</v>
      </c>
    </row>
    <row r="42" spans="1:9" x14ac:dyDescent="0.15">
      <c r="A42" s="37" t="s">
        <v>229</v>
      </c>
      <c r="B42" s="37" t="s">
        <v>226</v>
      </c>
      <c r="C42" s="58">
        <v>1.0000000000000001E+25</v>
      </c>
      <c r="D42" s="99">
        <f>Table3[[#This Row],[Fluence (n/m^2)]]/6E+24</f>
        <v>1.6666666666666667</v>
      </c>
      <c r="E42" s="38">
        <f t="shared" si="0"/>
        <v>673</v>
      </c>
      <c r="F42" s="38" t="s">
        <v>227</v>
      </c>
      <c r="G42" s="58">
        <v>4.8E+21</v>
      </c>
      <c r="H42" s="38">
        <v>18.3</v>
      </c>
      <c r="I42" s="37" t="s">
        <v>233</v>
      </c>
    </row>
    <row r="43" spans="1:9" x14ac:dyDescent="0.15">
      <c r="A43" s="37" t="s">
        <v>229</v>
      </c>
      <c r="B43" s="37" t="s">
        <v>226</v>
      </c>
      <c r="C43" s="58">
        <v>3.1000000000000001E+24</v>
      </c>
      <c r="D43" s="99">
        <f>Table3[[#This Row],[Fluence (n/m^2)]]/6E+24</f>
        <v>0.51666666666666672</v>
      </c>
      <c r="E43" s="38">
        <f>250+273</f>
        <v>523</v>
      </c>
      <c r="F43" s="38" t="s">
        <v>227</v>
      </c>
      <c r="G43" s="58">
        <v>3.2E+22</v>
      </c>
      <c r="H43" s="38">
        <v>10.199999999999999</v>
      </c>
      <c r="I43" s="37" t="s">
        <v>233</v>
      </c>
    </row>
    <row r="44" spans="1:9" x14ac:dyDescent="0.15">
      <c r="A44" s="37" t="s">
        <v>229</v>
      </c>
      <c r="B44" s="37" t="s">
        <v>226</v>
      </c>
      <c r="C44" s="58">
        <v>3.1000000000000001E+24</v>
      </c>
      <c r="D44" s="99">
        <f>Table3[[#This Row],[Fluence (n/m^2)]]/6E+24</f>
        <v>0.51666666666666672</v>
      </c>
      <c r="E44" s="38">
        <f t="shared" ref="E44:E46" si="1">250+273</f>
        <v>523</v>
      </c>
      <c r="F44" s="38" t="s">
        <v>227</v>
      </c>
      <c r="G44" s="58">
        <v>4.9999999999999996E+22</v>
      </c>
      <c r="H44" s="38">
        <v>6.6</v>
      </c>
      <c r="I44" s="37" t="s">
        <v>233</v>
      </c>
    </row>
    <row r="45" spans="1:9" x14ac:dyDescent="0.15">
      <c r="A45" s="37" t="s">
        <v>229</v>
      </c>
      <c r="B45" s="37" t="s">
        <v>226</v>
      </c>
      <c r="C45" s="58">
        <v>3.1000000000000001E+24</v>
      </c>
      <c r="D45" s="99">
        <f>Table3[[#This Row],[Fluence (n/m^2)]]/6E+24</f>
        <v>0.51666666666666672</v>
      </c>
      <c r="E45" s="38">
        <f t="shared" si="1"/>
        <v>523</v>
      </c>
      <c r="F45" s="38" t="s">
        <v>227</v>
      </c>
      <c r="G45" s="58">
        <v>2E+22</v>
      </c>
      <c r="H45" s="38">
        <v>6</v>
      </c>
      <c r="I45" s="37" t="s">
        <v>233</v>
      </c>
    </row>
    <row r="46" spans="1:9" x14ac:dyDescent="0.15">
      <c r="A46" s="37" t="s">
        <v>229</v>
      </c>
      <c r="B46" s="37" t="s">
        <v>226</v>
      </c>
      <c r="C46" s="58">
        <v>3.1000000000000001E+24</v>
      </c>
      <c r="D46" s="99">
        <f>Table3[[#This Row],[Fluence (n/m^2)]]/6E+24</f>
        <v>0.51666666666666672</v>
      </c>
      <c r="E46" s="38">
        <f t="shared" si="1"/>
        <v>523</v>
      </c>
      <c r="F46" s="38" t="s">
        <v>227</v>
      </c>
      <c r="G46" s="58">
        <v>1.3E+22</v>
      </c>
      <c r="H46" s="38">
        <v>11.6</v>
      </c>
      <c r="I46" s="37" t="s">
        <v>233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EE76A-E608-4A16-A09E-244B800DC593}">
  <dimension ref="A3:Y41"/>
  <sheetViews>
    <sheetView topLeftCell="M6" zoomScaleNormal="100" workbookViewId="0">
      <selection activeCell="Y35" sqref="Y35"/>
    </sheetView>
  </sheetViews>
  <sheetFormatPr baseColWidth="10" defaultColWidth="8.83203125" defaultRowHeight="15" x14ac:dyDescent="0.2"/>
  <cols>
    <col min="1" max="1" width="12.83203125" style="9" customWidth="1"/>
    <col min="2" max="2" width="10.6640625" style="9" customWidth="1"/>
    <col min="3" max="3" width="11.5" style="9" bestFit="1" customWidth="1"/>
    <col min="4" max="4" width="12.33203125" style="9" customWidth="1"/>
    <col min="5" max="5" width="8.6640625" style="9"/>
    <col min="6" max="6" width="10.6640625" style="9" customWidth="1"/>
    <col min="7" max="7" width="11.5" style="9" bestFit="1" customWidth="1"/>
    <col min="8" max="8" width="8.6640625" style="9"/>
    <col min="16" max="16" width="8.83203125" bestFit="1" customWidth="1"/>
    <col min="17" max="17" width="11.33203125" bestFit="1" customWidth="1"/>
    <col min="18" max="18" width="11.33203125" customWidth="1"/>
    <col min="19" max="22" width="8.83203125" bestFit="1" customWidth="1"/>
    <col min="24" max="24" width="8.83203125" bestFit="1" customWidth="1"/>
  </cols>
  <sheetData>
    <row r="3" spans="1:25" ht="16" x14ac:dyDescent="0.2">
      <c r="A3" s="9" t="s">
        <v>192</v>
      </c>
      <c r="F3" s="9" t="s">
        <v>193</v>
      </c>
      <c r="G3" s="9" t="s">
        <v>194</v>
      </c>
    </row>
    <row r="4" spans="1:25" ht="16" x14ac:dyDescent="0.2">
      <c r="A4" s="9">
        <v>400</v>
      </c>
      <c r="C4" s="9" t="s">
        <v>193</v>
      </c>
      <c r="D4" s="9" t="s">
        <v>195</v>
      </c>
      <c r="F4" s="10">
        <f t="shared" ref="F4:F9" si="0">$X$7*S13</f>
        <v>0.1973086663064095</v>
      </c>
      <c r="G4">
        <v>2.80746368288876</v>
      </c>
    </row>
    <row r="5" spans="1:25" x14ac:dyDescent="0.2">
      <c r="F5" s="10">
        <f t="shared" si="0"/>
        <v>0.25970098646916101</v>
      </c>
      <c r="G5">
        <v>4.7757398518706102</v>
      </c>
    </row>
    <row r="6" spans="1:25" x14ac:dyDescent="0.2">
      <c r="F6" s="10">
        <f t="shared" si="0"/>
        <v>0.36216768916155401</v>
      </c>
      <c r="G6">
        <v>10.461871006707099</v>
      </c>
    </row>
    <row r="7" spans="1:25" x14ac:dyDescent="0.2">
      <c r="F7" s="10">
        <f t="shared" si="0"/>
        <v>0.44035093296036149</v>
      </c>
      <c r="G7">
        <v>15.153692107187</v>
      </c>
      <c r="Q7" t="s">
        <v>187</v>
      </c>
      <c r="W7" t="s">
        <v>189</v>
      </c>
      <c r="X7" s="2">
        <v>5.0000000000000001E-4</v>
      </c>
      <c r="Y7" t="s">
        <v>190</v>
      </c>
    </row>
    <row r="8" spans="1:25" x14ac:dyDescent="0.2">
      <c r="F8" s="10">
        <f t="shared" si="0"/>
        <v>0.59266770505525512</v>
      </c>
      <c r="G8">
        <v>17.676340633840798</v>
      </c>
    </row>
    <row r="9" spans="1:25" x14ac:dyDescent="0.2">
      <c r="F9" s="10">
        <f t="shared" si="0"/>
        <v>0.66223974061476998</v>
      </c>
      <c r="G9">
        <v>22.724180679614701</v>
      </c>
      <c r="K9" s="2"/>
      <c r="S9" t="s">
        <v>182</v>
      </c>
      <c r="U9" t="s">
        <v>183</v>
      </c>
    </row>
    <row r="11" spans="1:25" x14ac:dyDescent="0.2">
      <c r="A11" s="9">
        <v>450</v>
      </c>
      <c r="C11" s="10">
        <f>$X$7*Q20</f>
        <v>0.122847141918483</v>
      </c>
      <c r="D11" s="9">
        <f>R20*100000000000000000000</f>
        <v>2.0533656504961702E+20</v>
      </c>
      <c r="F11" s="10">
        <f>$X$7*S20</f>
        <v>0.1592294732826855</v>
      </c>
      <c r="G11" s="9">
        <f>T20</f>
        <v>2.1768015512252901</v>
      </c>
    </row>
    <row r="12" spans="1:25" x14ac:dyDescent="0.2">
      <c r="C12" s="10">
        <f>$X$7*Q21</f>
        <v>0.1932410320533165</v>
      </c>
      <c r="D12" s="9">
        <f>R21*100000000000000000000</f>
        <v>6.9807789675231091E+20</v>
      </c>
      <c r="F12" s="10">
        <f>$X$7*S21</f>
        <v>0.413174820136262</v>
      </c>
      <c r="G12" s="9">
        <f>T21</f>
        <v>20.687243714040498</v>
      </c>
      <c r="Q12" t="s">
        <v>184</v>
      </c>
      <c r="R12" t="s">
        <v>185</v>
      </c>
      <c r="S12" t="s">
        <v>184</v>
      </c>
      <c r="T12" t="s">
        <v>186</v>
      </c>
      <c r="U12" t="s">
        <v>184</v>
      </c>
      <c r="V12" t="s">
        <v>186</v>
      </c>
    </row>
    <row r="13" spans="1:25" x14ac:dyDescent="0.2">
      <c r="C13" s="10">
        <f>$X$7*Q22</f>
        <v>0.29794945937245348</v>
      </c>
      <c r="D13" s="9">
        <f>R22*100000000000000000000</f>
        <v>8.1489558360254697E+20</v>
      </c>
      <c r="F13" s="10">
        <f>$X$7*S22</f>
        <v>0.64983841402036502</v>
      </c>
      <c r="G13" s="9">
        <f>T22</f>
        <v>39.223115801519398</v>
      </c>
      <c r="P13">
        <v>400</v>
      </c>
      <c r="S13">
        <v>394.61733261281898</v>
      </c>
      <c r="T13">
        <v>2.80746368288876</v>
      </c>
    </row>
    <row r="14" spans="1:25" x14ac:dyDescent="0.2">
      <c r="C14" s="10">
        <f>$X$7*Q23</f>
        <v>0.3593960515573425</v>
      </c>
      <c r="D14" s="9">
        <f>R23*100000000000000000000</f>
        <v>7.9898004574320905E+20</v>
      </c>
      <c r="S14">
        <v>519.40197293832205</v>
      </c>
      <c r="T14">
        <v>4.7757398518706102</v>
      </c>
    </row>
    <row r="15" spans="1:25" x14ac:dyDescent="0.2">
      <c r="C15" s="10">
        <f>$X$7*Q24</f>
        <v>0.41063533093216603</v>
      </c>
      <c r="D15" s="9">
        <f>R24*100000000000000000000</f>
        <v>7.7589554005511897E+20</v>
      </c>
      <c r="S15">
        <v>724.33537832310799</v>
      </c>
      <c r="T15">
        <v>10.461871006707099</v>
      </c>
    </row>
    <row r="16" spans="1:25" x14ac:dyDescent="0.2">
      <c r="S16">
        <v>880.70186592072298</v>
      </c>
      <c r="T16">
        <v>15.153692107187</v>
      </c>
    </row>
    <row r="17" spans="1:22" x14ac:dyDescent="0.2">
      <c r="A17" s="9">
        <v>500</v>
      </c>
      <c r="C17" s="9">
        <f>0.0005*Q26</f>
        <v>0.21707084115036948</v>
      </c>
      <c r="D17" s="9">
        <f>100000000000000000000*R26</f>
        <v>4.1045430492946301E+20</v>
      </c>
      <c r="F17" s="9">
        <f>0.0005*S26</f>
        <v>0.22552316772094902</v>
      </c>
      <c r="G17" s="9">
        <f>T26</f>
        <v>9.2895514797036292</v>
      </c>
      <c r="S17">
        <v>1185.3354101105101</v>
      </c>
      <c r="T17">
        <v>17.676340633840798</v>
      </c>
    </row>
    <row r="18" spans="1:22" x14ac:dyDescent="0.2">
      <c r="C18" s="9">
        <f>0.0005*Q27</f>
        <v>0.29768633254165</v>
      </c>
      <c r="D18" s="9">
        <f>100000000000000000000*R27</f>
        <v>4.7526215481885498E+20</v>
      </c>
      <c r="F18" s="9">
        <f>0.0005*S27</f>
        <v>0.30438878116490253</v>
      </c>
      <c r="G18" s="9">
        <f>T27</f>
        <v>21.877364188308601</v>
      </c>
      <c r="S18">
        <v>1324.4794812295399</v>
      </c>
      <c r="T18">
        <v>22.724180679614701</v>
      </c>
    </row>
    <row r="19" spans="1:22" x14ac:dyDescent="0.2">
      <c r="C19" s="9">
        <f>0.0005*Q28</f>
        <v>0.36880791453924</v>
      </c>
      <c r="D19" s="9">
        <f>100000000000000000000*R28</f>
        <v>5.2007566604822603E+20</v>
      </c>
      <c r="F19" s="9">
        <f>0.0005*S28</f>
        <v>0.37741716731830849</v>
      </c>
      <c r="G19" s="9">
        <f>T28</f>
        <v>26.920118249149699</v>
      </c>
    </row>
    <row r="20" spans="1:22" x14ac:dyDescent="0.2">
      <c r="C20" s="9">
        <f>0.0005*Q29</f>
        <v>0.39314352680443199</v>
      </c>
      <c r="D20" s="9">
        <f>100000000000000000000*R29</f>
        <v>4.7325988420582198E+20</v>
      </c>
      <c r="P20">
        <v>450</v>
      </c>
      <c r="Q20">
        <v>245.69428383696601</v>
      </c>
      <c r="R20">
        <v>2.0533656504961701</v>
      </c>
      <c r="S20">
        <v>318.45894656537098</v>
      </c>
      <c r="T20">
        <v>2.1768015512252901</v>
      </c>
    </row>
    <row r="21" spans="1:22" x14ac:dyDescent="0.2">
      <c r="C21" s="9">
        <f>0.0005*Q30</f>
        <v>0.44391276216016151</v>
      </c>
      <c r="D21" s="9">
        <f>100000000000000000000*R30</f>
        <v>4.6473782333216594E+20</v>
      </c>
      <c r="Q21">
        <v>386.482064106633</v>
      </c>
      <c r="R21">
        <v>6.9807789675231096</v>
      </c>
      <c r="S21">
        <v>826.34964027252397</v>
      </c>
      <c r="T21">
        <v>20.687243714040498</v>
      </c>
    </row>
    <row r="22" spans="1:22" x14ac:dyDescent="0.2">
      <c r="Q22">
        <v>595.89891874490695</v>
      </c>
      <c r="R22">
        <v>8.1489558360254701</v>
      </c>
      <c r="S22">
        <v>1299.67682804073</v>
      </c>
      <c r="T22">
        <v>39.223115801519398</v>
      </c>
    </row>
    <row r="23" spans="1:22" x14ac:dyDescent="0.2">
      <c r="A23" s="9">
        <v>550</v>
      </c>
      <c r="C23" s="9">
        <f>0.0005*Q33</f>
        <v>0.32254224478889698</v>
      </c>
      <c r="D23" s="9">
        <f>100000000000000000000*R33</f>
        <v>3.8074430604340501E+20</v>
      </c>
      <c r="F23" s="9">
        <f>0.0005*U33</f>
        <v>0.22858944206738302</v>
      </c>
      <c r="G23">
        <v>11.459012212745501</v>
      </c>
      <c r="Q23">
        <v>718.79210311468501</v>
      </c>
      <c r="R23">
        <v>7.9898004574320902</v>
      </c>
    </row>
    <row r="24" spans="1:22" x14ac:dyDescent="0.2">
      <c r="C24" s="9">
        <f>0.0005*Q34</f>
        <v>0.381398194143168</v>
      </c>
      <c r="D24" s="9">
        <f>100000000000000000000*R34</f>
        <v>3.5579921598697898E+20</v>
      </c>
      <c r="F24" s="9">
        <f>0.0005*U34</f>
        <v>0.31275962710039401</v>
      </c>
      <c r="G24">
        <v>14.4186903176447</v>
      </c>
      <c r="Q24">
        <v>821.27066186433206</v>
      </c>
      <c r="R24">
        <v>7.7589554005511898</v>
      </c>
    </row>
    <row r="25" spans="1:22" x14ac:dyDescent="0.2">
      <c r="C25" s="9">
        <f>0.0005*Q35</f>
        <v>0.44492184117219702</v>
      </c>
      <c r="D25" s="9">
        <f>100000000000000000000*R35</f>
        <v>3.11046163897549E+20</v>
      </c>
      <c r="F25" s="9">
        <f>0.0005*U35</f>
        <v>0.40378283415035049</v>
      </c>
      <c r="G25">
        <v>17.095010059221899</v>
      </c>
    </row>
    <row r="26" spans="1:22" x14ac:dyDescent="0.2">
      <c r="F26" s="9">
        <f>0.0005*U36</f>
        <v>0.52057181717718504</v>
      </c>
      <c r="G26">
        <v>20.6596582698138</v>
      </c>
      <c r="P26">
        <v>500</v>
      </c>
      <c r="Q26">
        <v>434.14168230073898</v>
      </c>
      <c r="R26">
        <v>4.1045430492946302</v>
      </c>
      <c r="S26">
        <v>451.04633544189801</v>
      </c>
      <c r="T26">
        <v>9.2895514797036292</v>
      </c>
      <c r="U26">
        <v>494.36966932079002</v>
      </c>
      <c r="V26">
        <v>3.3818820662492501</v>
      </c>
    </row>
    <row r="27" spans="1:22" x14ac:dyDescent="0.2">
      <c r="Q27">
        <v>595.37266508330003</v>
      </c>
      <c r="R27">
        <v>4.7526215481885501</v>
      </c>
      <c r="S27">
        <v>608.77756232980505</v>
      </c>
      <c r="T27">
        <v>21.877364188308601</v>
      </c>
      <c r="U27">
        <v>779.24116630302206</v>
      </c>
      <c r="V27">
        <v>4.3665523787935303</v>
      </c>
    </row>
    <row r="28" spans="1:22" x14ac:dyDescent="0.2">
      <c r="Q28">
        <v>737.61582907848003</v>
      </c>
      <c r="R28">
        <v>5.2007566604822602</v>
      </c>
      <c r="S28">
        <v>754.83433463661697</v>
      </c>
      <c r="T28">
        <v>26.920118249149699</v>
      </c>
      <c r="U28">
        <v>1012.75962710039</v>
      </c>
      <c r="V28">
        <v>7.06412399761986</v>
      </c>
    </row>
    <row r="29" spans="1:22" x14ac:dyDescent="0.2">
      <c r="A29" s="9">
        <v>600</v>
      </c>
      <c r="C29" s="9">
        <f>0.0005*Q38</f>
        <v>4.4598227897334197E-2</v>
      </c>
      <c r="D29" s="9">
        <f>100000000000000000000*R38</f>
        <v>7.2737095852254593E+19</v>
      </c>
      <c r="F29" s="9">
        <f>0.0005*S38</f>
        <v>0.15478665352787202</v>
      </c>
      <c r="G29">
        <v>10.767030102673299</v>
      </c>
      <c r="Q29">
        <v>786.28705360886397</v>
      </c>
      <c r="R29">
        <v>4.7325988420582199</v>
      </c>
      <c r="U29">
        <v>1115.90207134964</v>
      </c>
      <c r="V29">
        <v>9.99688305800351</v>
      </c>
    </row>
    <row r="30" spans="1:22" x14ac:dyDescent="0.2">
      <c r="C30" s="9">
        <f>0.0005*Q39</f>
        <v>0.31641300337936801</v>
      </c>
      <c r="D30" s="9">
        <f>100000000000000000000*R39</f>
        <v>1.0233577132043602E+20</v>
      </c>
      <c r="F30" s="9">
        <f>0.0005*S39</f>
        <v>0.2516163895864455</v>
      </c>
      <c r="G30">
        <v>31.225404494739202</v>
      </c>
      <c r="Q30">
        <v>887.82552432032298</v>
      </c>
      <c r="R30">
        <v>4.6473782333216596</v>
      </c>
      <c r="U30">
        <v>1314.8876484089401</v>
      </c>
      <c r="V30">
        <v>9.5010059221898207</v>
      </c>
    </row>
    <row r="31" spans="1:22" x14ac:dyDescent="0.2">
      <c r="C31" s="9">
        <f>0.0005*Q40</f>
        <v>0.43496243091867054</v>
      </c>
      <c r="D31" s="9">
        <f>100000000000000000000*R40</f>
        <v>1.0497660431830299E+20</v>
      </c>
      <c r="F31" s="9">
        <f>0.0005*S40</f>
        <v>0.45192154868241197</v>
      </c>
      <c r="G31">
        <v>69.042245462347793</v>
      </c>
    </row>
    <row r="33" spans="16:22" x14ac:dyDescent="0.2">
      <c r="P33">
        <v>550</v>
      </c>
      <c r="Q33">
        <v>645.08448957779399</v>
      </c>
      <c r="R33">
        <v>3.8074430604340499</v>
      </c>
      <c r="U33">
        <v>457.17888413476601</v>
      </c>
      <c r="V33">
        <v>11.459012212745501</v>
      </c>
    </row>
    <row r="34" spans="16:22" x14ac:dyDescent="0.2">
      <c r="Q34">
        <v>762.79638828633597</v>
      </c>
      <c r="R34">
        <v>3.5579921598697899</v>
      </c>
      <c r="U34">
        <v>625.51925420078805</v>
      </c>
      <c r="V34">
        <v>14.4186903176447</v>
      </c>
    </row>
    <row r="35" spans="16:22" x14ac:dyDescent="0.2">
      <c r="Q35">
        <v>889.84368234439398</v>
      </c>
      <c r="R35">
        <v>3.1104616389754902</v>
      </c>
      <c r="U35">
        <v>807.56566830070096</v>
      </c>
      <c r="V35">
        <v>17.095010059221899</v>
      </c>
    </row>
    <row r="36" spans="16:22" x14ac:dyDescent="0.2">
      <c r="U36">
        <v>1041.1436343543701</v>
      </c>
      <c r="V36">
        <v>20.6596582698138</v>
      </c>
    </row>
    <row r="38" spans="16:22" x14ac:dyDescent="0.2">
      <c r="P38" s="9">
        <v>600</v>
      </c>
      <c r="Q38" s="9">
        <v>89.196455794668395</v>
      </c>
      <c r="R38" s="9">
        <v>0.72737095852254596</v>
      </c>
      <c r="S38">
        <v>309.57330705574401</v>
      </c>
      <c r="T38">
        <v>10.767030102673299</v>
      </c>
      <c r="U38">
        <v>440.47774220055999</v>
      </c>
      <c r="V38">
        <v>18.099515457198802</v>
      </c>
    </row>
    <row r="39" spans="16:22" x14ac:dyDescent="0.2">
      <c r="P39" s="9"/>
      <c r="Q39" s="9">
        <v>632.82600675873596</v>
      </c>
      <c r="R39" s="9">
        <v>1.0233577132043601</v>
      </c>
      <c r="S39">
        <v>503.23277917289101</v>
      </c>
      <c r="T39">
        <v>31.225404494739202</v>
      </c>
      <c r="U39">
        <v>691.17338698251694</v>
      </c>
      <c r="V39">
        <v>21.093196565696701</v>
      </c>
    </row>
    <row r="40" spans="16:22" x14ac:dyDescent="0.2">
      <c r="P40" s="9"/>
      <c r="Q40" s="9">
        <v>869.92486183734104</v>
      </c>
      <c r="R40" s="9">
        <v>1.04976604318303</v>
      </c>
      <c r="S40">
        <v>903.84309736482396</v>
      </c>
      <c r="T40">
        <v>69.042245462347793</v>
      </c>
      <c r="U40">
        <v>887.223371397807</v>
      </c>
      <c r="V40">
        <v>27.821540902779802</v>
      </c>
    </row>
    <row r="41" spans="16:22" x14ac:dyDescent="0.2">
      <c r="U41">
        <v>1234.5753874925599</v>
      </c>
      <c r="V41">
        <v>39.2366325692103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F1AA-183E-AD4E-A181-AFC5327FC4C7}">
  <dimension ref="A1:K8"/>
  <sheetViews>
    <sheetView workbookViewId="0">
      <selection activeCell="F22" sqref="F22"/>
    </sheetView>
  </sheetViews>
  <sheetFormatPr baseColWidth="10" defaultRowHeight="15" x14ac:dyDescent="0.2"/>
  <cols>
    <col min="1" max="1" width="15.6640625" customWidth="1"/>
    <col min="2" max="2" width="19.33203125" customWidth="1"/>
    <col min="3" max="3" width="17.33203125" style="39" customWidth="1"/>
    <col min="4" max="4" width="12.83203125" customWidth="1"/>
    <col min="5" max="5" width="12.33203125" customWidth="1"/>
    <col min="6" max="6" width="12.83203125" customWidth="1"/>
    <col min="7" max="7" width="24" customWidth="1"/>
    <col min="8" max="8" width="16.83203125" customWidth="1"/>
    <col min="9" max="9" width="22.33203125" customWidth="1"/>
    <col min="11" max="11" width="27.33203125" bestFit="1" customWidth="1"/>
  </cols>
  <sheetData>
    <row r="1" spans="1:11" ht="16" x14ac:dyDescent="0.2">
      <c r="A1" s="56" t="s">
        <v>218</v>
      </c>
      <c r="B1" s="34" t="s">
        <v>219</v>
      </c>
      <c r="C1" s="35" t="s">
        <v>243</v>
      </c>
      <c r="D1" s="35" t="s">
        <v>176</v>
      </c>
      <c r="E1" s="35" t="s">
        <v>220</v>
      </c>
      <c r="F1" s="35" t="s">
        <v>221</v>
      </c>
      <c r="G1" s="35" t="s">
        <v>222</v>
      </c>
      <c r="H1" s="35" t="s">
        <v>223</v>
      </c>
      <c r="I1" s="33" t="s">
        <v>224</v>
      </c>
      <c r="K1" s="11" t="s">
        <v>205</v>
      </c>
    </row>
    <row r="2" spans="1:11" ht="16" x14ac:dyDescent="0.2">
      <c r="A2" s="52" t="s">
        <v>225</v>
      </c>
      <c r="B2" s="19" t="s">
        <v>226</v>
      </c>
      <c r="C2" s="22">
        <v>3.7999999999999997E+23</v>
      </c>
      <c r="D2" s="49">
        <f>C2/6E+24</f>
        <v>6.3333333333333325E-2</v>
      </c>
      <c r="E2" s="21">
        <v>573</v>
      </c>
      <c r="F2" s="21" t="s">
        <v>227</v>
      </c>
      <c r="G2" s="22">
        <v>1.2E+22</v>
      </c>
      <c r="H2" s="21">
        <v>9</v>
      </c>
      <c r="I2" s="19" t="s">
        <v>234</v>
      </c>
    </row>
    <row r="3" spans="1:11" ht="16" x14ac:dyDescent="0.2">
      <c r="A3" s="53" t="s">
        <v>225</v>
      </c>
      <c r="B3" s="24" t="s">
        <v>226</v>
      </c>
      <c r="C3" s="27">
        <v>5.3000000000000001E+23</v>
      </c>
      <c r="D3" s="49">
        <f t="shared" ref="D3:D8" si="0">C3/6E+24</f>
        <v>8.8333333333333333E-2</v>
      </c>
      <c r="E3" s="26">
        <v>623</v>
      </c>
      <c r="F3" s="26" t="s">
        <v>227</v>
      </c>
      <c r="G3" s="27">
        <v>2.7E+21</v>
      </c>
      <c r="H3" s="26">
        <v>23</v>
      </c>
      <c r="I3" s="24" t="s">
        <v>234</v>
      </c>
    </row>
    <row r="4" spans="1:11" ht="16" x14ac:dyDescent="0.2">
      <c r="A4" s="52" t="s">
        <v>225</v>
      </c>
      <c r="B4" s="19" t="s">
        <v>226</v>
      </c>
      <c r="C4" s="22">
        <v>1.9999999999999998E+23</v>
      </c>
      <c r="D4" s="49">
        <f t="shared" si="0"/>
        <v>3.3333333333333333E-2</v>
      </c>
      <c r="E4" s="21">
        <v>623</v>
      </c>
      <c r="F4" s="21" t="s">
        <v>227</v>
      </c>
      <c r="G4" s="22">
        <v>8E+20</v>
      </c>
      <c r="H4" s="21">
        <v>10</v>
      </c>
      <c r="I4" s="19" t="s">
        <v>234</v>
      </c>
    </row>
    <row r="5" spans="1:11" ht="16" x14ac:dyDescent="0.2">
      <c r="A5" s="54" t="s">
        <v>225</v>
      </c>
      <c r="B5" s="40" t="s">
        <v>226</v>
      </c>
      <c r="C5" s="42">
        <v>1.7999999999999999E+24</v>
      </c>
      <c r="D5" s="49">
        <f t="shared" si="0"/>
        <v>0.3</v>
      </c>
      <c r="E5" s="41">
        <v>668</v>
      </c>
      <c r="F5" s="41" t="s">
        <v>227</v>
      </c>
      <c r="G5" s="42">
        <v>2E+20</v>
      </c>
      <c r="H5" s="41">
        <v>62</v>
      </c>
      <c r="I5" s="40" t="s">
        <v>234</v>
      </c>
    </row>
    <row r="6" spans="1:11" ht="16" x14ac:dyDescent="0.2">
      <c r="A6" s="52" t="s">
        <v>225</v>
      </c>
      <c r="B6" s="19" t="s">
        <v>226</v>
      </c>
      <c r="C6" s="22">
        <v>6.4E+23</v>
      </c>
      <c r="D6" s="49">
        <f t="shared" si="0"/>
        <v>0.10666666666666667</v>
      </c>
      <c r="E6" s="21">
        <v>668</v>
      </c>
      <c r="F6" s="21" t="s">
        <v>227</v>
      </c>
      <c r="G6" s="22">
        <v>2E+20</v>
      </c>
      <c r="H6" s="21">
        <v>56</v>
      </c>
      <c r="I6" s="19" t="s">
        <v>234</v>
      </c>
    </row>
    <row r="7" spans="1:11" ht="16" x14ac:dyDescent="0.2">
      <c r="A7" s="53" t="s">
        <v>225</v>
      </c>
      <c r="B7" s="24" t="s">
        <v>226</v>
      </c>
      <c r="C7" s="27">
        <v>3.3000000000000003E+23</v>
      </c>
      <c r="D7" s="49">
        <f t="shared" si="0"/>
        <v>5.5000000000000007E-2</v>
      </c>
      <c r="E7" s="26">
        <v>668</v>
      </c>
      <c r="F7" s="26" t="s">
        <v>227</v>
      </c>
      <c r="G7" s="27">
        <v>7E+20</v>
      </c>
      <c r="H7" s="26">
        <v>33</v>
      </c>
      <c r="I7" s="24" t="s">
        <v>234</v>
      </c>
    </row>
    <row r="8" spans="1:11" ht="16" x14ac:dyDescent="0.2">
      <c r="A8" s="55" t="s">
        <v>225</v>
      </c>
      <c r="B8" s="50" t="s">
        <v>226</v>
      </c>
      <c r="C8" s="51">
        <v>6.4E+23</v>
      </c>
      <c r="D8" s="49">
        <f t="shared" si="0"/>
        <v>0.10666666666666667</v>
      </c>
      <c r="I8" s="24" t="s">
        <v>234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A9CFD-A3D2-4294-BD53-F03B69D2FF0B}">
  <dimension ref="A2:J10"/>
  <sheetViews>
    <sheetView zoomScale="200" zoomScaleNormal="200" workbookViewId="0">
      <selection activeCell="F14" sqref="F14"/>
    </sheetView>
  </sheetViews>
  <sheetFormatPr baseColWidth="10" defaultColWidth="8.83203125" defaultRowHeight="15" x14ac:dyDescent="0.2"/>
  <cols>
    <col min="6" max="6" width="8.6640625" style="12"/>
  </cols>
  <sheetData>
    <row r="2" spans="1:10" x14ac:dyDescent="0.2">
      <c r="J2" s="11" t="s">
        <v>205</v>
      </c>
    </row>
    <row r="3" spans="1:10" s="9" customFormat="1" ht="96" x14ac:dyDescent="0.2">
      <c r="A3" s="9" t="s">
        <v>196</v>
      </c>
      <c r="B3" s="9" t="s">
        <v>197</v>
      </c>
      <c r="C3" s="9" t="s">
        <v>193</v>
      </c>
      <c r="D3" s="9" t="s">
        <v>198</v>
      </c>
      <c r="E3" s="9" t="s">
        <v>199</v>
      </c>
      <c r="F3" s="13" t="s">
        <v>200</v>
      </c>
    </row>
    <row r="4" spans="1:10" x14ac:dyDescent="0.2">
      <c r="A4">
        <v>708</v>
      </c>
      <c r="B4">
        <v>6.4E+23</v>
      </c>
      <c r="C4">
        <f>B4/6E+24</f>
        <v>0.10666666666666667</v>
      </c>
      <c r="F4" s="14"/>
      <c r="J4" s="2">
        <v>5.9999999999999999E+24</v>
      </c>
    </row>
    <row r="5" spans="1:10" x14ac:dyDescent="0.2">
      <c r="A5">
        <v>668</v>
      </c>
      <c r="B5">
        <v>3.3000000000000003E+23</v>
      </c>
      <c r="C5">
        <f t="shared" ref="C5:C10" si="0">B5/6E+24</f>
        <v>5.5000000000000007E-2</v>
      </c>
      <c r="D5">
        <v>7E+20</v>
      </c>
      <c r="E5">
        <v>33</v>
      </c>
      <c r="F5" s="14" t="s">
        <v>201</v>
      </c>
    </row>
    <row r="6" spans="1:10" x14ac:dyDescent="0.2">
      <c r="A6">
        <v>668</v>
      </c>
      <c r="B6">
        <v>6.4E+23</v>
      </c>
      <c r="C6">
        <f t="shared" si="0"/>
        <v>0.10666666666666667</v>
      </c>
      <c r="D6">
        <v>2E+20</v>
      </c>
      <c r="E6">
        <v>56</v>
      </c>
      <c r="F6" s="14" t="s">
        <v>202</v>
      </c>
    </row>
    <row r="7" spans="1:10" x14ac:dyDescent="0.2">
      <c r="A7">
        <v>668</v>
      </c>
      <c r="B7">
        <v>1.7999999999999999E+24</v>
      </c>
      <c r="C7">
        <f t="shared" si="0"/>
        <v>0.3</v>
      </c>
      <c r="D7">
        <v>2E+20</v>
      </c>
      <c r="E7">
        <v>62</v>
      </c>
      <c r="F7" s="14" t="s">
        <v>203</v>
      </c>
    </row>
    <row r="8" spans="1:10" x14ac:dyDescent="0.2">
      <c r="A8">
        <v>623</v>
      </c>
      <c r="B8">
        <v>1.9999999999999998E+23</v>
      </c>
      <c r="C8">
        <f t="shared" si="0"/>
        <v>3.3333333333333333E-2</v>
      </c>
      <c r="D8">
        <v>8E+20</v>
      </c>
      <c r="E8">
        <v>10</v>
      </c>
      <c r="F8" s="14"/>
    </row>
    <row r="9" spans="1:10" x14ac:dyDescent="0.2">
      <c r="A9">
        <v>623</v>
      </c>
      <c r="B9">
        <v>5.3000000000000001E+23</v>
      </c>
      <c r="C9">
        <f t="shared" si="0"/>
        <v>8.8333333333333333E-2</v>
      </c>
      <c r="D9">
        <v>2.7E+21</v>
      </c>
      <c r="E9">
        <v>23</v>
      </c>
      <c r="F9" s="14" t="s">
        <v>204</v>
      </c>
    </row>
    <row r="10" spans="1:10" x14ac:dyDescent="0.2">
      <c r="A10">
        <v>573</v>
      </c>
      <c r="B10">
        <v>3.7999999999999997E+23</v>
      </c>
      <c r="C10">
        <f t="shared" si="0"/>
        <v>6.3333333333333325E-2</v>
      </c>
      <c r="D10">
        <v>1.2E+22</v>
      </c>
      <c r="E10">
        <v>9</v>
      </c>
      <c r="F10" s="14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2C2E-7A1C-4E86-9D9B-0F1477F8472E}">
  <dimension ref="A1:W9"/>
  <sheetViews>
    <sheetView zoomScale="70" zoomScaleNormal="70" workbookViewId="0">
      <selection activeCell="H17" sqref="H17"/>
    </sheetView>
  </sheetViews>
  <sheetFormatPr baseColWidth="10" defaultColWidth="8.83203125" defaultRowHeight="15" x14ac:dyDescent="0.2"/>
  <cols>
    <col min="1" max="1" width="10.83203125" bestFit="1" customWidth="1"/>
    <col min="2" max="2" width="10" bestFit="1" customWidth="1"/>
    <col min="4" max="4" width="10.83203125" bestFit="1" customWidth="1"/>
    <col min="5" max="5" width="10" bestFit="1" customWidth="1"/>
    <col min="18" max="18" width="22" customWidth="1"/>
    <col min="22" max="22" width="21.6640625" customWidth="1"/>
  </cols>
  <sheetData>
    <row r="1" spans="1:23" x14ac:dyDescent="0.2">
      <c r="B1" t="s">
        <v>245</v>
      </c>
      <c r="E1" t="s">
        <v>208</v>
      </c>
      <c r="L1" t="s">
        <v>207</v>
      </c>
      <c r="O1" t="s">
        <v>208</v>
      </c>
    </row>
    <row r="3" spans="1:23" x14ac:dyDescent="0.2">
      <c r="A3" t="s">
        <v>216</v>
      </c>
      <c r="B3" t="s">
        <v>210</v>
      </c>
      <c r="D3" t="s">
        <v>216</v>
      </c>
      <c r="E3" t="s">
        <v>210</v>
      </c>
      <c r="K3" t="s">
        <v>206</v>
      </c>
      <c r="L3" t="s">
        <v>210</v>
      </c>
      <c r="N3" t="s">
        <v>206</v>
      </c>
      <c r="O3" t="s">
        <v>210</v>
      </c>
      <c r="R3" t="s">
        <v>206</v>
      </c>
      <c r="S3" t="s">
        <v>209</v>
      </c>
      <c r="V3" t="s">
        <v>206</v>
      </c>
      <c r="W3" t="s">
        <v>209</v>
      </c>
    </row>
    <row r="4" spans="1:23" x14ac:dyDescent="0.2">
      <c r="A4">
        <v>573</v>
      </c>
      <c r="B4">
        <f>LOG(5E+21)</f>
        <v>21.698970004336019</v>
      </c>
      <c r="D4">
        <v>673</v>
      </c>
      <c r="E4">
        <f>LOG(280000000000000000000)</f>
        <v>20.447158031342219</v>
      </c>
      <c r="K4">
        <v>573</v>
      </c>
      <c r="L4">
        <f>LOG10(S4)</f>
        <v>22.079181246047625</v>
      </c>
      <c r="N4">
        <v>478</v>
      </c>
      <c r="O4">
        <f>LOG10(W4)</f>
        <v>22.778151250383644</v>
      </c>
      <c r="R4">
        <v>573</v>
      </c>
      <c r="S4" s="2">
        <v>1.2E+22</v>
      </c>
      <c r="V4">
        <v>478</v>
      </c>
      <c r="W4" s="2">
        <v>6E+22</v>
      </c>
    </row>
    <row r="5" spans="1:23" x14ac:dyDescent="0.2">
      <c r="B5">
        <f>LOG(1.9E+21)</f>
        <v>21.278753600952829</v>
      </c>
      <c r="E5">
        <f>LOG(500000000000000000000)</f>
        <v>20.698970004336019</v>
      </c>
      <c r="K5">
        <v>623</v>
      </c>
      <c r="L5">
        <f t="shared" ref="L5:L6" si="0">LOG10(S5)</f>
        <v>21.380211241711606</v>
      </c>
      <c r="N5">
        <v>523</v>
      </c>
      <c r="O5">
        <f t="shared" ref="O5:O9" si="1">LOG10(W5)</f>
        <v>22.505149978319906</v>
      </c>
      <c r="R5">
        <v>623</v>
      </c>
      <c r="S5" s="2">
        <v>2.4E+21</v>
      </c>
      <c r="V5">
        <v>523</v>
      </c>
      <c r="W5" s="2">
        <v>3.2E+22</v>
      </c>
    </row>
    <row r="6" spans="1:23" x14ac:dyDescent="0.2">
      <c r="K6">
        <v>673</v>
      </c>
      <c r="L6">
        <f t="shared" si="0"/>
        <v>20.301029995663981</v>
      </c>
      <c r="N6">
        <v>573</v>
      </c>
      <c r="O6">
        <f t="shared" si="1"/>
        <v>22.255272505103306</v>
      </c>
      <c r="R6">
        <v>673</v>
      </c>
      <c r="S6" s="2">
        <v>2E+20</v>
      </c>
      <c r="V6">
        <v>573</v>
      </c>
      <c r="W6" s="2">
        <v>1.8E+22</v>
      </c>
    </row>
    <row r="7" spans="1:23" x14ac:dyDescent="0.2">
      <c r="N7">
        <v>623</v>
      </c>
      <c r="O7">
        <f t="shared" si="1"/>
        <v>21.662757831681574</v>
      </c>
      <c r="V7">
        <v>623</v>
      </c>
      <c r="W7" s="2">
        <v>4.6E+21</v>
      </c>
    </row>
    <row r="8" spans="1:23" x14ac:dyDescent="0.2">
      <c r="N8">
        <v>673</v>
      </c>
      <c r="O8">
        <f t="shared" si="1"/>
        <v>21.146128035678238</v>
      </c>
      <c r="V8">
        <v>673</v>
      </c>
      <c r="W8" s="2">
        <v>1.4E+21</v>
      </c>
    </row>
    <row r="9" spans="1:23" x14ac:dyDescent="0.2">
      <c r="N9">
        <v>723</v>
      </c>
      <c r="O9">
        <f t="shared" si="1"/>
        <v>20.255272505103306</v>
      </c>
      <c r="V9">
        <v>723</v>
      </c>
      <c r="W9" s="2">
        <v>1.8E+20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F812C-043A-B742-BB3F-59DEC7422121}">
  <dimension ref="A1:H16"/>
  <sheetViews>
    <sheetView workbookViewId="0">
      <selection activeCell="D2" sqref="D2"/>
    </sheetView>
  </sheetViews>
  <sheetFormatPr baseColWidth="10" defaultRowHeight="15" x14ac:dyDescent="0.2"/>
  <cols>
    <col min="1" max="1" width="15.6640625" customWidth="1"/>
    <col min="2" max="2" width="19.33203125" customWidth="1"/>
    <col min="3" max="3" width="12.83203125" style="39" customWidth="1"/>
    <col min="4" max="4" width="12.33203125" customWidth="1"/>
    <col min="5" max="5" width="12.83203125" style="39" customWidth="1"/>
    <col min="6" max="6" width="24" customWidth="1"/>
    <col min="7" max="7" width="16.83203125" style="39" customWidth="1"/>
    <col min="8" max="8" width="25.33203125" customWidth="1"/>
  </cols>
  <sheetData>
    <row r="1" spans="1:8" ht="16" x14ac:dyDescent="0.2">
      <c r="A1" s="33" t="s">
        <v>218</v>
      </c>
      <c r="B1" s="34" t="s">
        <v>219</v>
      </c>
      <c r="C1" s="35" t="s">
        <v>176</v>
      </c>
      <c r="D1" s="35" t="s">
        <v>220</v>
      </c>
      <c r="E1" s="35" t="s">
        <v>221</v>
      </c>
      <c r="F1" s="35" t="s">
        <v>222</v>
      </c>
      <c r="G1" s="35" t="s">
        <v>223</v>
      </c>
      <c r="H1" s="36" t="s">
        <v>224</v>
      </c>
    </row>
    <row r="2" spans="1:8" ht="16" x14ac:dyDescent="0.2">
      <c r="A2" s="18" t="s">
        <v>225</v>
      </c>
      <c r="B2" s="19" t="s">
        <v>226</v>
      </c>
      <c r="C2" s="20">
        <v>2.1666666666666665</v>
      </c>
      <c r="D2" s="21">
        <v>573</v>
      </c>
      <c r="E2" s="21" t="s">
        <v>227</v>
      </c>
      <c r="F2" s="22">
        <v>5E+21</v>
      </c>
      <c r="G2" s="21">
        <v>18.600000000000001</v>
      </c>
      <c r="H2" s="31" t="s">
        <v>228</v>
      </c>
    </row>
    <row r="3" spans="1:8" ht="16" x14ac:dyDescent="0.2">
      <c r="A3" s="23" t="s">
        <v>229</v>
      </c>
      <c r="B3" s="24" t="s">
        <v>226</v>
      </c>
      <c r="C3" s="25">
        <v>2.1666666666666665</v>
      </c>
      <c r="D3" s="26">
        <v>573</v>
      </c>
      <c r="E3" s="26" t="s">
        <v>227</v>
      </c>
      <c r="F3" s="27">
        <v>1.9000000000000002E+22</v>
      </c>
      <c r="G3" s="26">
        <v>6.5</v>
      </c>
      <c r="H3" s="32" t="s">
        <v>228</v>
      </c>
    </row>
    <row r="4" spans="1:8" ht="16" x14ac:dyDescent="0.2">
      <c r="A4" s="18" t="s">
        <v>229</v>
      </c>
      <c r="B4" s="19" t="s">
        <v>226</v>
      </c>
      <c r="C4" s="20">
        <v>2</v>
      </c>
      <c r="D4" s="21">
        <v>673</v>
      </c>
      <c r="E4" s="21" t="s">
        <v>227</v>
      </c>
      <c r="F4" s="22">
        <v>2.8E+20</v>
      </c>
      <c r="G4" s="21">
        <v>60</v>
      </c>
      <c r="H4" s="31" t="s">
        <v>228</v>
      </c>
    </row>
    <row r="5" spans="1:8" ht="16" x14ac:dyDescent="0.2">
      <c r="A5" s="23" t="s">
        <v>225</v>
      </c>
      <c r="B5" s="24" t="s">
        <v>226</v>
      </c>
      <c r="C5" s="25">
        <v>2</v>
      </c>
      <c r="D5" s="26">
        <v>673</v>
      </c>
      <c r="E5" s="26" t="s">
        <v>227</v>
      </c>
      <c r="F5" s="27">
        <v>5E+20</v>
      </c>
      <c r="G5" s="26">
        <v>50</v>
      </c>
      <c r="H5" s="32" t="s">
        <v>228</v>
      </c>
    </row>
    <row r="6" spans="1:8" ht="16" x14ac:dyDescent="0.2">
      <c r="A6" s="37" t="s">
        <v>230</v>
      </c>
      <c r="B6" s="37" t="s">
        <v>226</v>
      </c>
      <c r="C6" s="25">
        <v>2</v>
      </c>
      <c r="D6" s="38">
        <v>673</v>
      </c>
      <c r="E6" s="38" t="s">
        <v>227</v>
      </c>
      <c r="F6" s="37"/>
      <c r="G6" s="38">
        <v>37</v>
      </c>
      <c r="H6" s="32" t="s">
        <v>228</v>
      </c>
    </row>
    <row r="7" spans="1:8" ht="16" x14ac:dyDescent="0.2">
      <c r="A7" s="37" t="s">
        <v>230</v>
      </c>
      <c r="B7" s="37" t="s">
        <v>226</v>
      </c>
      <c r="C7" s="25">
        <v>2.1666666666666665</v>
      </c>
      <c r="D7" s="38">
        <v>573</v>
      </c>
      <c r="E7" s="38" t="s">
        <v>227</v>
      </c>
      <c r="F7" s="37"/>
      <c r="G7" s="38">
        <v>7</v>
      </c>
      <c r="H7" s="32" t="s">
        <v>228</v>
      </c>
    </row>
    <row r="8" spans="1:8" ht="16" x14ac:dyDescent="0.2">
      <c r="A8" s="37" t="s">
        <v>244</v>
      </c>
      <c r="B8" s="37" t="s">
        <v>226</v>
      </c>
      <c r="C8" s="57">
        <v>2</v>
      </c>
      <c r="D8" s="38">
        <v>478</v>
      </c>
      <c r="E8" s="38"/>
      <c r="F8" s="58">
        <v>6E+22</v>
      </c>
      <c r="G8" s="38"/>
      <c r="H8" s="32" t="s">
        <v>228</v>
      </c>
    </row>
    <row r="9" spans="1:8" ht="16" x14ac:dyDescent="0.2">
      <c r="A9" s="37" t="s">
        <v>244</v>
      </c>
      <c r="B9" s="37" t="s">
        <v>226</v>
      </c>
      <c r="C9" s="57">
        <v>2</v>
      </c>
      <c r="D9" s="38">
        <v>523</v>
      </c>
      <c r="E9" s="38"/>
      <c r="F9" s="58">
        <v>3.2E+22</v>
      </c>
      <c r="G9" s="38"/>
      <c r="H9" s="32" t="s">
        <v>228</v>
      </c>
    </row>
    <row r="10" spans="1:8" ht="16" x14ac:dyDescent="0.2">
      <c r="A10" s="37" t="s">
        <v>244</v>
      </c>
      <c r="B10" s="37" t="s">
        <v>226</v>
      </c>
      <c r="C10" s="57">
        <v>2</v>
      </c>
      <c r="D10" s="38">
        <v>573</v>
      </c>
      <c r="E10" s="38"/>
      <c r="F10" s="58">
        <v>1.8E+22</v>
      </c>
      <c r="G10" s="38"/>
      <c r="H10" s="32" t="s">
        <v>228</v>
      </c>
    </row>
    <row r="11" spans="1:8" ht="16" x14ac:dyDescent="0.2">
      <c r="A11" s="37" t="s">
        <v>244</v>
      </c>
      <c r="B11" s="37" t="s">
        <v>226</v>
      </c>
      <c r="C11" s="57">
        <v>2</v>
      </c>
      <c r="D11" s="38">
        <v>623</v>
      </c>
      <c r="E11" s="38"/>
      <c r="F11" s="58">
        <v>4.6E+21</v>
      </c>
      <c r="G11" s="38"/>
      <c r="H11" s="32" t="s">
        <v>228</v>
      </c>
    </row>
    <row r="12" spans="1:8" ht="16" x14ac:dyDescent="0.2">
      <c r="A12" s="37" t="s">
        <v>244</v>
      </c>
      <c r="B12" s="37" t="s">
        <v>226</v>
      </c>
      <c r="C12" s="57">
        <v>2</v>
      </c>
      <c r="D12" s="38">
        <v>673</v>
      </c>
      <c r="E12" s="38"/>
      <c r="F12" s="58">
        <v>1.4E+21</v>
      </c>
      <c r="G12" s="38"/>
      <c r="H12" s="32" t="s">
        <v>228</v>
      </c>
    </row>
    <row r="13" spans="1:8" ht="16" x14ac:dyDescent="0.2">
      <c r="A13" s="37" t="s">
        <v>244</v>
      </c>
      <c r="B13" s="37" t="s">
        <v>226</v>
      </c>
      <c r="C13" s="57">
        <v>2</v>
      </c>
      <c r="D13" s="38">
        <v>723</v>
      </c>
      <c r="E13" s="38"/>
      <c r="F13" s="58">
        <v>1.8E+20</v>
      </c>
      <c r="G13" s="38"/>
      <c r="H13" s="32" t="s">
        <v>228</v>
      </c>
    </row>
    <row r="14" spans="1:8" ht="16" x14ac:dyDescent="0.2">
      <c r="A14" s="37" t="s">
        <v>244</v>
      </c>
      <c r="B14" s="37" t="s">
        <v>226</v>
      </c>
      <c r="C14" s="38">
        <v>0.2</v>
      </c>
      <c r="D14" s="38">
        <v>573</v>
      </c>
      <c r="E14" s="38"/>
      <c r="F14" s="58">
        <v>1.2E+22</v>
      </c>
      <c r="G14" s="38"/>
      <c r="H14" s="32" t="s">
        <v>228</v>
      </c>
    </row>
    <row r="15" spans="1:8" ht="16" x14ac:dyDescent="0.2">
      <c r="A15" s="37" t="s">
        <v>244</v>
      </c>
      <c r="B15" s="37" t="s">
        <v>226</v>
      </c>
      <c r="C15" s="38">
        <v>0.2</v>
      </c>
      <c r="D15" s="38">
        <v>623</v>
      </c>
      <c r="E15" s="38"/>
      <c r="F15" s="58">
        <v>2.4E+21</v>
      </c>
      <c r="G15" s="38"/>
      <c r="H15" s="32" t="s">
        <v>228</v>
      </c>
    </row>
    <row r="16" spans="1:8" ht="16" x14ac:dyDescent="0.2">
      <c r="A16" s="37" t="s">
        <v>244</v>
      </c>
      <c r="B16" s="37" t="s">
        <v>226</v>
      </c>
      <c r="C16" s="38">
        <v>0.2</v>
      </c>
      <c r="D16" s="38">
        <v>673</v>
      </c>
      <c r="E16" s="38"/>
      <c r="F16" s="58">
        <v>2E+20</v>
      </c>
      <c r="G16" s="38"/>
      <c r="H16" s="32" t="s">
        <v>228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C41D-F312-184E-A71A-E23DC8E48881}">
  <sheetPr filterMode="1"/>
  <dimension ref="A1:H20"/>
  <sheetViews>
    <sheetView workbookViewId="0">
      <selection activeCell="D5" sqref="D5:D18"/>
    </sheetView>
  </sheetViews>
  <sheetFormatPr baseColWidth="10" defaultRowHeight="15" x14ac:dyDescent="0.2"/>
  <cols>
    <col min="1" max="1" width="13.33203125" bestFit="1" customWidth="1"/>
    <col min="2" max="2" width="17.1640625" bestFit="1" customWidth="1"/>
    <col min="3" max="3" width="10.5" bestFit="1" customWidth="1"/>
    <col min="4" max="4" width="10" bestFit="1" customWidth="1"/>
    <col min="5" max="5" width="10.5" bestFit="1" customWidth="1"/>
    <col min="6" max="6" width="22" bestFit="1" customWidth="1"/>
    <col min="7" max="7" width="14.5" bestFit="1" customWidth="1"/>
    <col min="8" max="8" width="24.1640625" customWidth="1"/>
  </cols>
  <sheetData>
    <row r="1" spans="1:8" ht="16" x14ac:dyDescent="0.2">
      <c r="A1" s="15" t="s">
        <v>218</v>
      </c>
      <c r="B1" s="16" t="s">
        <v>219</v>
      </c>
      <c r="C1" s="17" t="s">
        <v>176</v>
      </c>
      <c r="D1" s="17" t="s">
        <v>220</v>
      </c>
      <c r="E1" s="17" t="s">
        <v>221</v>
      </c>
      <c r="F1" s="17" t="s">
        <v>222</v>
      </c>
      <c r="G1" s="17" t="s">
        <v>223</v>
      </c>
      <c r="H1" s="15" t="s">
        <v>224</v>
      </c>
    </row>
    <row r="2" spans="1:8" ht="16" hidden="1" x14ac:dyDescent="0.2">
      <c r="A2" s="18" t="s">
        <v>229</v>
      </c>
      <c r="B2" s="19" t="s">
        <v>226</v>
      </c>
      <c r="C2" s="28">
        <v>0.56666666666666665</v>
      </c>
      <c r="D2" s="21">
        <v>650</v>
      </c>
      <c r="E2" s="21" t="s">
        <v>227</v>
      </c>
      <c r="F2" s="22">
        <v>1.4499999999999999E+22</v>
      </c>
      <c r="G2" s="21">
        <v>2.93</v>
      </c>
      <c r="H2" s="19" t="s">
        <v>242</v>
      </c>
    </row>
    <row r="3" spans="1:8" ht="16" hidden="1" x14ac:dyDescent="0.2">
      <c r="A3" s="23" t="s">
        <v>229</v>
      </c>
      <c r="B3" s="24" t="s">
        <v>226</v>
      </c>
      <c r="C3" s="29">
        <v>0.91666666666666674</v>
      </c>
      <c r="D3" s="26">
        <v>660</v>
      </c>
      <c r="E3" s="26" t="s">
        <v>227</v>
      </c>
      <c r="F3" s="27">
        <v>1.6700000000000001E+22</v>
      </c>
      <c r="G3" s="26">
        <v>4.42</v>
      </c>
      <c r="H3" s="24" t="s">
        <v>242</v>
      </c>
    </row>
    <row r="4" spans="1:8" ht="16" hidden="1" x14ac:dyDescent="0.2">
      <c r="A4" s="19" t="s">
        <v>240</v>
      </c>
      <c r="B4" s="19" t="s">
        <v>226</v>
      </c>
      <c r="C4" s="28">
        <v>1.35</v>
      </c>
      <c r="D4" s="21">
        <v>673</v>
      </c>
      <c r="E4" s="21" t="s">
        <v>227</v>
      </c>
      <c r="F4" s="22">
        <v>1.6300000000000001E+22</v>
      </c>
      <c r="G4" s="21">
        <v>3.92</v>
      </c>
      <c r="H4" s="19" t="s">
        <v>242</v>
      </c>
    </row>
    <row r="5" spans="1:8" ht="16" x14ac:dyDescent="0.2">
      <c r="A5" s="23" t="s">
        <v>229</v>
      </c>
      <c r="B5" s="24" t="s">
        <v>226</v>
      </c>
      <c r="C5" s="29">
        <v>5</v>
      </c>
      <c r="D5" s="26">
        <v>675</v>
      </c>
      <c r="E5" s="26" t="s">
        <v>235</v>
      </c>
      <c r="F5" s="27">
        <v>2.36E+19</v>
      </c>
      <c r="G5" s="26">
        <v>137.4</v>
      </c>
      <c r="H5" s="24" t="s">
        <v>242</v>
      </c>
    </row>
    <row r="6" spans="1:8" ht="16" hidden="1" x14ac:dyDescent="0.2">
      <c r="A6" s="43" t="s">
        <v>229</v>
      </c>
      <c r="B6" s="44" t="s">
        <v>226</v>
      </c>
      <c r="C6" s="45">
        <v>5</v>
      </c>
      <c r="D6" s="46">
        <v>675</v>
      </c>
      <c r="E6" s="46" t="s">
        <v>227</v>
      </c>
      <c r="F6" s="47">
        <v>1.3E+22</v>
      </c>
      <c r="G6" s="46">
        <v>5.24</v>
      </c>
      <c r="H6" s="44" t="s">
        <v>242</v>
      </c>
    </row>
    <row r="7" spans="1:8" ht="16" hidden="1" x14ac:dyDescent="0.2">
      <c r="A7" s="23" t="s">
        <v>229</v>
      </c>
      <c r="B7" s="24" t="s">
        <v>226</v>
      </c>
      <c r="C7" s="29">
        <v>5</v>
      </c>
      <c r="D7" s="26">
        <v>675</v>
      </c>
      <c r="E7" s="26" t="s">
        <v>227</v>
      </c>
      <c r="F7" s="27">
        <v>1.8700000000000001E+22</v>
      </c>
      <c r="G7" s="26">
        <v>4.7</v>
      </c>
      <c r="H7" s="24" t="s">
        <v>242</v>
      </c>
    </row>
    <row r="8" spans="1:8" ht="16" x14ac:dyDescent="0.2">
      <c r="A8" s="18" t="s">
        <v>229</v>
      </c>
      <c r="B8" s="19" t="s">
        <v>226</v>
      </c>
      <c r="C8" s="28">
        <v>1.8333333333333335</v>
      </c>
      <c r="D8" s="21">
        <v>680</v>
      </c>
      <c r="E8" s="21" t="s">
        <v>235</v>
      </c>
      <c r="F8" s="22">
        <v>8.4E+18</v>
      </c>
      <c r="G8" s="21">
        <v>111.2</v>
      </c>
      <c r="H8" s="19" t="s">
        <v>242</v>
      </c>
    </row>
    <row r="9" spans="1:8" ht="16" hidden="1" x14ac:dyDescent="0.2">
      <c r="A9" s="23" t="s">
        <v>229</v>
      </c>
      <c r="B9" s="24" t="s">
        <v>226</v>
      </c>
      <c r="C9" s="29">
        <v>1.8333333333333335</v>
      </c>
      <c r="D9" s="26">
        <v>680</v>
      </c>
      <c r="E9" s="26" t="s">
        <v>227</v>
      </c>
      <c r="F9" s="27">
        <v>7.3299999999999995E+21</v>
      </c>
      <c r="G9" s="26">
        <v>6.77</v>
      </c>
      <c r="H9" s="24" t="s">
        <v>242</v>
      </c>
    </row>
    <row r="10" spans="1:8" ht="16" hidden="1" x14ac:dyDescent="0.2">
      <c r="A10" s="18" t="s">
        <v>229</v>
      </c>
      <c r="B10" s="19" t="s">
        <v>226</v>
      </c>
      <c r="C10" s="28">
        <v>1.8333333333333335</v>
      </c>
      <c r="D10" s="21">
        <v>680</v>
      </c>
      <c r="E10" s="21" t="s">
        <v>227</v>
      </c>
      <c r="F10" s="22">
        <v>6.9699999999999995E+21</v>
      </c>
      <c r="G10" s="21">
        <v>5.15</v>
      </c>
      <c r="H10" s="19" t="s">
        <v>242</v>
      </c>
    </row>
    <row r="11" spans="1:8" ht="16" x14ac:dyDescent="0.2">
      <c r="A11" s="23" t="s">
        <v>229</v>
      </c>
      <c r="B11" s="24" t="s">
        <v>226</v>
      </c>
      <c r="C11" s="29">
        <v>5.1666666666666661</v>
      </c>
      <c r="D11" s="26">
        <v>683</v>
      </c>
      <c r="E11" s="26" t="s">
        <v>235</v>
      </c>
      <c r="F11" s="27">
        <v>1.29E+19</v>
      </c>
      <c r="G11" s="26">
        <v>124.3</v>
      </c>
      <c r="H11" s="24" t="s">
        <v>242</v>
      </c>
    </row>
    <row r="12" spans="1:8" ht="16" x14ac:dyDescent="0.2">
      <c r="A12" s="18" t="s">
        <v>240</v>
      </c>
      <c r="B12" s="19" t="s">
        <v>226</v>
      </c>
      <c r="C12" s="28">
        <v>5.1666666666666661</v>
      </c>
      <c r="D12" s="21">
        <v>683</v>
      </c>
      <c r="E12" s="21" t="s">
        <v>235</v>
      </c>
      <c r="F12" s="22">
        <v>2.21E+19</v>
      </c>
      <c r="G12" s="21">
        <v>110.4</v>
      </c>
      <c r="H12" s="19" t="s">
        <v>242</v>
      </c>
    </row>
    <row r="13" spans="1:8" ht="16" x14ac:dyDescent="0.2">
      <c r="A13" s="23" t="s">
        <v>229</v>
      </c>
      <c r="B13" s="24" t="s">
        <v>226</v>
      </c>
      <c r="C13" s="29">
        <v>5.1666666666666661</v>
      </c>
      <c r="D13" s="26">
        <v>683</v>
      </c>
      <c r="E13" s="26" t="s">
        <v>235</v>
      </c>
      <c r="F13" s="27">
        <v>2.74E+18</v>
      </c>
      <c r="G13" s="26">
        <v>106</v>
      </c>
      <c r="H13" s="24" t="s">
        <v>242</v>
      </c>
    </row>
    <row r="14" spans="1:8" ht="16" hidden="1" x14ac:dyDescent="0.2">
      <c r="A14" s="18" t="s">
        <v>229</v>
      </c>
      <c r="B14" s="19" t="s">
        <v>226</v>
      </c>
      <c r="C14" s="28">
        <v>5.1666666666666661</v>
      </c>
      <c r="D14" s="21">
        <v>683</v>
      </c>
      <c r="E14" s="21" t="s">
        <v>227</v>
      </c>
      <c r="F14" s="22">
        <v>1.5E+22</v>
      </c>
      <c r="G14" s="21">
        <v>4.53</v>
      </c>
      <c r="H14" s="19" t="s">
        <v>242</v>
      </c>
    </row>
    <row r="15" spans="1:8" ht="16" hidden="1" x14ac:dyDescent="0.2">
      <c r="A15" s="23" t="s">
        <v>240</v>
      </c>
      <c r="B15" s="24" t="s">
        <v>226</v>
      </c>
      <c r="C15" s="29">
        <v>5.17</v>
      </c>
      <c r="D15" s="26">
        <v>683</v>
      </c>
      <c r="E15" s="26" t="s">
        <v>227</v>
      </c>
      <c r="F15" s="27">
        <v>1.0899999999999999E+22</v>
      </c>
      <c r="G15" s="26">
        <v>4.5</v>
      </c>
      <c r="H15" s="24" t="s">
        <v>242</v>
      </c>
    </row>
    <row r="16" spans="1:8" ht="16" hidden="1" x14ac:dyDescent="0.2">
      <c r="A16" s="18" t="s">
        <v>229</v>
      </c>
      <c r="B16" s="19" t="s">
        <v>226</v>
      </c>
      <c r="C16" s="28">
        <v>5.1666666666666661</v>
      </c>
      <c r="D16" s="21">
        <v>683</v>
      </c>
      <c r="E16" s="21" t="s">
        <v>227</v>
      </c>
      <c r="F16" s="22">
        <v>1.9500000000000001E+22</v>
      </c>
      <c r="G16" s="21">
        <v>3.96</v>
      </c>
      <c r="H16" s="19" t="s">
        <v>242</v>
      </c>
    </row>
    <row r="17" spans="1:8" ht="16" x14ac:dyDescent="0.2">
      <c r="A17" s="23" t="s">
        <v>229</v>
      </c>
      <c r="B17" s="24" t="s">
        <v>226</v>
      </c>
      <c r="C17" s="29">
        <v>2.6666666666666665</v>
      </c>
      <c r="D17" s="26">
        <v>694</v>
      </c>
      <c r="E17" s="26" t="s">
        <v>235</v>
      </c>
      <c r="F17" s="27">
        <v>3.32E+18</v>
      </c>
      <c r="G17" s="26">
        <v>135.19999999999999</v>
      </c>
      <c r="H17" s="24" t="s">
        <v>242</v>
      </c>
    </row>
    <row r="18" spans="1:8" ht="16" x14ac:dyDescent="0.2">
      <c r="A18" s="18" t="s">
        <v>229</v>
      </c>
      <c r="B18" s="19" t="s">
        <v>226</v>
      </c>
      <c r="C18" s="28">
        <v>2.6666666666666665</v>
      </c>
      <c r="D18" s="21">
        <v>694</v>
      </c>
      <c r="E18" s="21" t="s">
        <v>235</v>
      </c>
      <c r="F18" s="22">
        <v>4.43E+18</v>
      </c>
      <c r="G18" s="21">
        <v>115.3</v>
      </c>
      <c r="H18" s="19" t="s">
        <v>242</v>
      </c>
    </row>
    <row r="19" spans="1:8" ht="16" hidden="1" x14ac:dyDescent="0.2">
      <c r="A19" s="23" t="s">
        <v>229</v>
      </c>
      <c r="B19" s="24" t="s">
        <v>226</v>
      </c>
      <c r="C19" s="29">
        <v>2.6666666666666665</v>
      </c>
      <c r="D19" s="26">
        <v>694</v>
      </c>
      <c r="E19" s="26" t="s">
        <v>227</v>
      </c>
      <c r="F19" s="27">
        <v>8.0700000000000005E+21</v>
      </c>
      <c r="G19" s="26">
        <v>6.39</v>
      </c>
      <c r="H19" s="24" t="s">
        <v>242</v>
      </c>
    </row>
    <row r="20" spans="1:8" ht="16" hidden="1" x14ac:dyDescent="0.2">
      <c r="A20" s="18" t="s">
        <v>229</v>
      </c>
      <c r="B20" s="19" t="s">
        <v>226</v>
      </c>
      <c r="C20" s="28">
        <v>2.6666666666666665</v>
      </c>
      <c r="D20" s="21">
        <v>694</v>
      </c>
      <c r="E20" s="21" t="s">
        <v>227</v>
      </c>
      <c r="F20" s="22">
        <v>5.6300000000000005E+21</v>
      </c>
      <c r="G20" s="21">
        <v>6.38</v>
      </c>
      <c r="H20" s="19" t="s">
        <v>242</v>
      </c>
    </row>
  </sheetData>
  <autoFilter ref="A1:H20" xr:uid="{2AC2C41D-F312-184E-A71A-E23DC8E48881}">
    <filterColumn colId="4">
      <filters>
        <filter val="&lt;c&gt;"/>
      </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7084C-0CE5-0E4D-84EC-978AC0E0234B}">
  <dimension ref="A1:H3"/>
  <sheetViews>
    <sheetView workbookViewId="0">
      <selection activeCell="O35" sqref="O35"/>
    </sheetView>
  </sheetViews>
  <sheetFormatPr baseColWidth="10" defaultRowHeight="15" x14ac:dyDescent="0.2"/>
  <cols>
    <col min="1" max="1" width="13.33203125" bestFit="1" customWidth="1"/>
    <col min="2" max="2" width="17.1640625" bestFit="1" customWidth="1"/>
    <col min="3" max="3" width="10.5" bestFit="1" customWidth="1"/>
    <col min="4" max="4" width="10" bestFit="1" customWidth="1"/>
    <col min="5" max="5" width="10.5" bestFit="1" customWidth="1"/>
    <col min="6" max="6" width="22" bestFit="1" customWidth="1"/>
    <col min="7" max="7" width="14.5" bestFit="1" customWidth="1"/>
    <col min="8" max="8" width="23.83203125" customWidth="1"/>
  </cols>
  <sheetData>
    <row r="1" spans="1:8" ht="16" x14ac:dyDescent="0.2">
      <c r="A1" s="15" t="s">
        <v>218</v>
      </c>
      <c r="B1" s="16" t="s">
        <v>219</v>
      </c>
      <c r="C1" s="17" t="s">
        <v>176</v>
      </c>
      <c r="D1" s="17" t="s">
        <v>220</v>
      </c>
      <c r="E1" s="17" t="s">
        <v>221</v>
      </c>
      <c r="F1" s="17" t="s">
        <v>222</v>
      </c>
      <c r="G1" s="17" t="s">
        <v>223</v>
      </c>
      <c r="H1" s="15" t="s">
        <v>224</v>
      </c>
    </row>
    <row r="2" spans="1:8" ht="16" x14ac:dyDescent="0.2">
      <c r="A2" s="18" t="s">
        <v>240</v>
      </c>
      <c r="B2" s="19" t="s">
        <v>226</v>
      </c>
      <c r="C2" s="21">
        <v>14</v>
      </c>
      <c r="D2" s="21">
        <v>583</v>
      </c>
      <c r="E2" s="21" t="s">
        <v>235</v>
      </c>
      <c r="F2" s="22">
        <v>1.2E+21</v>
      </c>
      <c r="G2" s="21">
        <v>150</v>
      </c>
      <c r="H2" s="19" t="s">
        <v>241</v>
      </c>
    </row>
    <row r="3" spans="1:8" ht="16" x14ac:dyDescent="0.2">
      <c r="A3" s="23" t="s">
        <v>240</v>
      </c>
      <c r="B3" s="24" t="s">
        <v>226</v>
      </c>
      <c r="C3" s="26">
        <v>35</v>
      </c>
      <c r="D3" s="26">
        <v>583</v>
      </c>
      <c r="E3" s="26" t="s">
        <v>235</v>
      </c>
      <c r="F3" s="27">
        <v>1.17E+21</v>
      </c>
      <c r="G3" s="26">
        <v>150</v>
      </c>
      <c r="H3" s="24" t="s">
        <v>241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7062D-AB2F-2845-8438-A95E9315E424}">
  <dimension ref="A1:H6"/>
  <sheetViews>
    <sheetView tabSelected="1" workbookViewId="0">
      <selection activeCell="D6" sqref="D6"/>
    </sheetView>
  </sheetViews>
  <sheetFormatPr baseColWidth="10" defaultColWidth="10.6640625" defaultRowHeight="15" x14ac:dyDescent="0.2"/>
  <cols>
    <col min="1" max="1" width="13.33203125" bestFit="1" customWidth="1"/>
    <col min="2" max="2" width="17.1640625" bestFit="1" customWidth="1"/>
    <col min="3" max="3" width="12.5" customWidth="1"/>
    <col min="4" max="4" width="10" bestFit="1" customWidth="1"/>
    <col min="5" max="5" width="10.5" bestFit="1" customWidth="1"/>
    <col min="6" max="6" width="22" bestFit="1" customWidth="1"/>
    <col min="7" max="7" width="14.5" bestFit="1" customWidth="1"/>
    <col min="8" max="8" width="30.33203125" customWidth="1"/>
  </cols>
  <sheetData>
    <row r="1" spans="1:8" ht="16" x14ac:dyDescent="0.2">
      <c r="A1" s="15" t="s">
        <v>218</v>
      </c>
      <c r="B1" s="16" t="s">
        <v>219</v>
      </c>
      <c r="C1" s="17" t="s">
        <v>176</v>
      </c>
      <c r="D1" s="17" t="s">
        <v>220</v>
      </c>
      <c r="E1" s="17" t="s">
        <v>221</v>
      </c>
      <c r="F1" s="17" t="s">
        <v>222</v>
      </c>
      <c r="G1" s="17" t="s">
        <v>223</v>
      </c>
      <c r="H1" s="15" t="s">
        <v>224</v>
      </c>
    </row>
    <row r="2" spans="1:8" ht="16" x14ac:dyDescent="0.2">
      <c r="A2" s="18" t="s">
        <v>229</v>
      </c>
      <c r="B2" s="19" t="s">
        <v>226</v>
      </c>
      <c r="C2" s="21">
        <v>23</v>
      </c>
      <c r="D2" s="21">
        <v>600</v>
      </c>
      <c r="E2" s="21" t="s">
        <v>227</v>
      </c>
      <c r="F2" s="22">
        <v>5.1000000000000002E+22</v>
      </c>
      <c r="G2" s="21">
        <v>10.7</v>
      </c>
      <c r="H2" s="19" t="s">
        <v>237</v>
      </c>
    </row>
    <row r="3" spans="1:8" ht="16" x14ac:dyDescent="0.2">
      <c r="A3" s="23" t="s">
        <v>229</v>
      </c>
      <c r="B3" s="24" t="s">
        <v>226</v>
      </c>
      <c r="C3" s="26">
        <v>12</v>
      </c>
      <c r="D3" s="26">
        <v>600</v>
      </c>
      <c r="E3" s="26" t="s">
        <v>227</v>
      </c>
      <c r="F3" s="27">
        <v>4.8999999999999998E+22</v>
      </c>
      <c r="G3" s="26">
        <v>10.5</v>
      </c>
      <c r="H3" s="24" t="s">
        <v>237</v>
      </c>
    </row>
    <row r="4" spans="1:8" ht="16" x14ac:dyDescent="0.2">
      <c r="A4" s="18" t="s">
        <v>229</v>
      </c>
      <c r="B4" s="19" t="s">
        <v>226</v>
      </c>
      <c r="C4" s="21">
        <v>4.8</v>
      </c>
      <c r="D4" s="21">
        <v>600</v>
      </c>
      <c r="E4" s="21" t="s">
        <v>227</v>
      </c>
      <c r="F4" s="22">
        <v>4.3000000000000002E+22</v>
      </c>
      <c r="G4" s="21">
        <v>10</v>
      </c>
      <c r="H4" s="19" t="s">
        <v>237</v>
      </c>
    </row>
    <row r="5" spans="1:8" ht="16" x14ac:dyDescent="0.2">
      <c r="A5" s="23" t="s">
        <v>238</v>
      </c>
      <c r="B5" s="24" t="s">
        <v>226</v>
      </c>
      <c r="C5" s="26">
        <v>23</v>
      </c>
      <c r="D5" s="26">
        <v>600</v>
      </c>
      <c r="E5" s="26" t="s">
        <v>227</v>
      </c>
      <c r="F5" s="27">
        <v>7.3999999999999996E+22</v>
      </c>
      <c r="G5" s="26">
        <v>7.3</v>
      </c>
      <c r="H5" s="24" t="s">
        <v>237</v>
      </c>
    </row>
    <row r="6" spans="1:8" ht="16" x14ac:dyDescent="0.2">
      <c r="A6" s="18" t="s">
        <v>239</v>
      </c>
      <c r="B6" s="19" t="s">
        <v>226</v>
      </c>
      <c r="C6" s="21">
        <v>23</v>
      </c>
      <c r="D6" s="21">
        <v>600</v>
      </c>
      <c r="E6" s="21" t="s">
        <v>227</v>
      </c>
      <c r="F6" s="22">
        <v>8.8E+22</v>
      </c>
      <c r="G6" s="21">
        <v>6.6</v>
      </c>
      <c r="H6" s="19" t="s">
        <v>237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5C9D-6E26-784B-9911-F9AD833F7BD8}">
  <dimension ref="A1:H7"/>
  <sheetViews>
    <sheetView workbookViewId="0">
      <selection activeCell="C32" sqref="C32"/>
    </sheetView>
  </sheetViews>
  <sheetFormatPr baseColWidth="10" defaultRowHeight="15" x14ac:dyDescent="0.2"/>
  <cols>
    <col min="1" max="1" width="13.33203125" bestFit="1" customWidth="1"/>
    <col min="2" max="2" width="17.1640625" bestFit="1" customWidth="1"/>
    <col min="3" max="3" width="10.5" bestFit="1" customWidth="1"/>
    <col min="4" max="4" width="10" bestFit="1" customWidth="1"/>
    <col min="5" max="5" width="10.5" bestFit="1" customWidth="1"/>
    <col min="6" max="6" width="22" bestFit="1" customWidth="1"/>
    <col min="7" max="7" width="14.5" bestFit="1" customWidth="1"/>
    <col min="8" max="8" width="22.83203125" customWidth="1"/>
  </cols>
  <sheetData>
    <row r="1" spans="1:8" ht="16" x14ac:dyDescent="0.2">
      <c r="A1" s="15" t="s">
        <v>218</v>
      </c>
      <c r="B1" s="16" t="s">
        <v>219</v>
      </c>
      <c r="C1" s="17" t="s">
        <v>176</v>
      </c>
      <c r="D1" s="17" t="s">
        <v>220</v>
      </c>
      <c r="E1" s="17" t="s">
        <v>221</v>
      </c>
      <c r="F1" s="17" t="s">
        <v>222</v>
      </c>
      <c r="G1" s="17" t="s">
        <v>223</v>
      </c>
      <c r="H1" s="15" t="s">
        <v>224</v>
      </c>
    </row>
    <row r="2" spans="1:8" ht="16" x14ac:dyDescent="0.2">
      <c r="A2" s="18" t="s">
        <v>229</v>
      </c>
      <c r="B2" s="19" t="s">
        <v>226</v>
      </c>
      <c r="C2" s="21">
        <v>14.5</v>
      </c>
      <c r="D2" s="21">
        <v>573</v>
      </c>
      <c r="E2" s="21" t="s">
        <v>235</v>
      </c>
      <c r="F2" s="22">
        <v>3E+20</v>
      </c>
      <c r="G2" s="21">
        <v>120</v>
      </c>
      <c r="H2" s="19" t="s">
        <v>236</v>
      </c>
    </row>
    <row r="3" spans="1:8" ht="16" x14ac:dyDescent="0.2">
      <c r="A3" s="23" t="s">
        <v>229</v>
      </c>
      <c r="B3" s="24" t="s">
        <v>226</v>
      </c>
      <c r="C3" s="26">
        <v>15.8</v>
      </c>
      <c r="D3" s="26">
        <v>573</v>
      </c>
      <c r="E3" s="26" t="s">
        <v>235</v>
      </c>
      <c r="F3" s="27">
        <v>5.5E+20</v>
      </c>
      <c r="G3" s="26">
        <v>95</v>
      </c>
      <c r="H3" s="24" t="s">
        <v>236</v>
      </c>
    </row>
    <row r="4" spans="1:8" ht="16" x14ac:dyDescent="0.2">
      <c r="A4" s="18" t="s">
        <v>229</v>
      </c>
      <c r="B4" s="19" t="s">
        <v>226</v>
      </c>
      <c r="C4" s="21">
        <v>24.5</v>
      </c>
      <c r="D4" s="21">
        <v>573</v>
      </c>
      <c r="E4" s="21" t="s">
        <v>235</v>
      </c>
      <c r="F4" s="22">
        <v>8E+20</v>
      </c>
      <c r="G4" s="21">
        <v>95</v>
      </c>
      <c r="H4" s="19" t="s">
        <v>236</v>
      </c>
    </row>
    <row r="5" spans="1:8" ht="16" x14ac:dyDescent="0.2">
      <c r="A5" s="23" t="s">
        <v>229</v>
      </c>
      <c r="B5" s="24" t="s">
        <v>226</v>
      </c>
      <c r="C5" s="26">
        <v>14.5</v>
      </c>
      <c r="D5" s="26">
        <v>573</v>
      </c>
      <c r="E5" s="26" t="s">
        <v>227</v>
      </c>
      <c r="F5" s="27">
        <v>9.500000000000001E+21</v>
      </c>
      <c r="G5" s="26">
        <v>6</v>
      </c>
      <c r="H5" s="24" t="s">
        <v>236</v>
      </c>
    </row>
    <row r="6" spans="1:8" ht="16" x14ac:dyDescent="0.2">
      <c r="A6" s="18" t="s">
        <v>229</v>
      </c>
      <c r="B6" s="19" t="s">
        <v>226</v>
      </c>
      <c r="C6" s="21">
        <v>15.8</v>
      </c>
      <c r="D6" s="21">
        <v>573</v>
      </c>
      <c r="E6" s="21" t="s">
        <v>227</v>
      </c>
      <c r="F6" s="22">
        <v>1.5E+22</v>
      </c>
      <c r="G6" s="21">
        <v>4</v>
      </c>
      <c r="H6" s="19" t="s">
        <v>236</v>
      </c>
    </row>
    <row r="7" spans="1:8" ht="16" x14ac:dyDescent="0.2">
      <c r="A7" s="23" t="s">
        <v>229</v>
      </c>
      <c r="B7" s="24" t="s">
        <v>226</v>
      </c>
      <c r="C7" s="26">
        <v>24.5</v>
      </c>
      <c r="D7" s="26">
        <v>573</v>
      </c>
      <c r="E7" s="26" t="s">
        <v>227</v>
      </c>
      <c r="F7" s="27">
        <v>1.8E+22</v>
      </c>
      <c r="G7" s="26">
        <v>4</v>
      </c>
      <c r="H7" s="24" t="s">
        <v>236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C8E01-BC61-4C2D-8BE3-847100E09217}">
  <dimension ref="A1:G24"/>
  <sheetViews>
    <sheetView zoomScale="120" zoomScaleNormal="120" workbookViewId="0">
      <selection activeCell="J10" sqref="J10"/>
    </sheetView>
  </sheetViews>
  <sheetFormatPr baseColWidth="10" defaultColWidth="8.83203125" defaultRowHeight="15" x14ac:dyDescent="0.2"/>
  <cols>
    <col min="1" max="1" width="14.33203125" bestFit="1" customWidth="1"/>
    <col min="5" max="5" width="11" bestFit="1" customWidth="1"/>
  </cols>
  <sheetData>
    <row r="1" spans="1:7" x14ac:dyDescent="0.2">
      <c r="A1" t="s">
        <v>212</v>
      </c>
      <c r="B1" t="s">
        <v>261</v>
      </c>
      <c r="C1" t="s">
        <v>213</v>
      </c>
      <c r="D1" t="s">
        <v>262</v>
      </c>
      <c r="E1" t="s">
        <v>263</v>
      </c>
    </row>
    <row r="2" spans="1:7" x14ac:dyDescent="0.2">
      <c r="A2" t="s">
        <v>259</v>
      </c>
      <c r="B2">
        <v>0.05</v>
      </c>
      <c r="C2">
        <v>0.45</v>
      </c>
      <c r="D2">
        <v>0.15334256511496169</v>
      </c>
      <c r="E2" t="b">
        <v>0</v>
      </c>
    </row>
    <row r="3" spans="1:7" x14ac:dyDescent="0.2">
      <c r="A3" t="s">
        <v>260</v>
      </c>
      <c r="B3">
        <v>0.02</v>
      </c>
      <c r="C3">
        <v>0.3</v>
      </c>
      <c r="D3">
        <v>6.4079675855964052E-2</v>
      </c>
      <c r="E3" t="b">
        <v>0</v>
      </c>
    </row>
    <row r="4" spans="1:7" x14ac:dyDescent="0.2">
      <c r="A4" t="s">
        <v>162</v>
      </c>
      <c r="B4">
        <v>1.01</v>
      </c>
      <c r="C4">
        <v>1.5</v>
      </c>
      <c r="D4">
        <v>1.344084053983376</v>
      </c>
      <c r="E4" t="b">
        <v>0</v>
      </c>
    </row>
    <row r="5" spans="1:7" x14ac:dyDescent="0.2">
      <c r="A5" t="s">
        <v>252</v>
      </c>
      <c r="B5">
        <v>0.1</v>
      </c>
      <c r="C5">
        <v>1000</v>
      </c>
      <c r="D5">
        <v>120.5769851417577</v>
      </c>
      <c r="E5" t="b">
        <v>1</v>
      </c>
    </row>
    <row r="6" spans="1:7" x14ac:dyDescent="0.2">
      <c r="A6" t="s">
        <v>253</v>
      </c>
      <c r="B6">
        <v>0.01</v>
      </c>
      <c r="C6">
        <v>10000</v>
      </c>
      <c r="D6">
        <v>1130.8462561472229</v>
      </c>
      <c r="E6" t="b">
        <v>1</v>
      </c>
    </row>
    <row r="7" spans="1:7" x14ac:dyDescent="0.2">
      <c r="A7" t="s">
        <v>264</v>
      </c>
      <c r="B7">
        <v>1E-3</v>
      </c>
      <c r="C7">
        <v>0.3</v>
      </c>
      <c r="D7">
        <v>2.1128615845442591E-3</v>
      </c>
      <c r="E7" t="b">
        <v>1</v>
      </c>
    </row>
    <row r="8" spans="1:7" x14ac:dyDescent="0.2">
      <c r="A8" t="s">
        <v>265</v>
      </c>
      <c r="B8">
        <v>5</v>
      </c>
      <c r="C8">
        <v>300</v>
      </c>
      <c r="D8">
        <v>300.00000000000011</v>
      </c>
      <c r="E8" t="b">
        <v>0</v>
      </c>
    </row>
    <row r="9" spans="1:7" x14ac:dyDescent="0.2">
      <c r="A9" t="s">
        <v>81</v>
      </c>
      <c r="B9">
        <v>1E-4</v>
      </c>
      <c r="C9">
        <v>0.01</v>
      </c>
      <c r="D9">
        <v>0.01</v>
      </c>
      <c r="E9" t="b">
        <v>1</v>
      </c>
    </row>
    <row r="10" spans="1:7" x14ac:dyDescent="0.2">
      <c r="A10" t="s">
        <v>84</v>
      </c>
      <c r="B10">
        <v>1E-4</v>
      </c>
      <c r="C10">
        <v>0.01</v>
      </c>
      <c r="D10">
        <v>0.01</v>
      </c>
      <c r="E10" t="b">
        <v>1</v>
      </c>
      <c r="G10" s="107"/>
    </row>
    <row r="11" spans="1:7" x14ac:dyDescent="0.2">
      <c r="A11" t="s">
        <v>43</v>
      </c>
      <c r="B11">
        <v>0.2</v>
      </c>
      <c r="C11">
        <v>2</v>
      </c>
      <c r="D11">
        <v>0.7591009449813918</v>
      </c>
      <c r="E11" t="b">
        <v>0</v>
      </c>
    </row>
    <row r="12" spans="1:7" x14ac:dyDescent="0.2">
      <c r="A12" t="s">
        <v>164</v>
      </c>
      <c r="B12">
        <v>0.2</v>
      </c>
      <c r="C12">
        <v>2</v>
      </c>
      <c r="D12">
        <v>1.3629228358039209</v>
      </c>
      <c r="E12" t="b">
        <v>0</v>
      </c>
    </row>
    <row r="13" spans="1:7" x14ac:dyDescent="0.2">
      <c r="A13" t="s">
        <v>150</v>
      </c>
      <c r="B13">
        <v>0.2</v>
      </c>
      <c r="C13">
        <v>3</v>
      </c>
      <c r="D13">
        <v>0.9570327956958411</v>
      </c>
      <c r="E13" t="b">
        <v>0</v>
      </c>
    </row>
    <row r="14" spans="1:7" x14ac:dyDescent="0.2">
      <c r="A14" t="s">
        <v>251</v>
      </c>
      <c r="B14">
        <v>5.0000000000000001E-3</v>
      </c>
      <c r="C14">
        <v>0.4</v>
      </c>
      <c r="D14">
        <v>0.1078856689068271</v>
      </c>
      <c r="E14" t="b">
        <v>1</v>
      </c>
    </row>
    <row r="15" spans="1:7" x14ac:dyDescent="0.2">
      <c r="A15" t="s">
        <v>254</v>
      </c>
      <c r="B15" s="2">
        <v>0.01</v>
      </c>
      <c r="C15" s="2">
        <v>100</v>
      </c>
      <c r="D15" s="2">
        <v>0.16248337093261861</v>
      </c>
      <c r="E15" t="b">
        <v>1</v>
      </c>
    </row>
    <row r="16" spans="1:7" x14ac:dyDescent="0.2">
      <c r="A16" t="s">
        <v>255</v>
      </c>
      <c r="B16" s="2">
        <v>0.01</v>
      </c>
      <c r="C16" s="2">
        <v>100</v>
      </c>
      <c r="D16" s="2">
        <v>2.9582913040818868</v>
      </c>
      <c r="E16" t="b">
        <v>1</v>
      </c>
    </row>
    <row r="17" spans="1:5" x14ac:dyDescent="0.2">
      <c r="A17" t="s">
        <v>78</v>
      </c>
      <c r="B17">
        <v>5.0000000000000001E-3</v>
      </c>
      <c r="C17">
        <v>0.1</v>
      </c>
      <c r="D17">
        <v>4.9999999999999992E-3</v>
      </c>
      <c r="E17" t="b">
        <v>1</v>
      </c>
    </row>
    <row r="18" spans="1:5" x14ac:dyDescent="0.2">
      <c r="A18" t="s">
        <v>256</v>
      </c>
      <c r="B18">
        <v>5</v>
      </c>
      <c r="C18">
        <v>400</v>
      </c>
      <c r="D18">
        <v>400.00000000000011</v>
      </c>
      <c r="E18" t="b">
        <v>0</v>
      </c>
    </row>
    <row r="19" spans="1:5" x14ac:dyDescent="0.2">
      <c r="A19" t="s">
        <v>258</v>
      </c>
      <c r="B19">
        <v>0.2</v>
      </c>
      <c r="C19">
        <v>0.8</v>
      </c>
      <c r="D19">
        <v>0.47007861740746282</v>
      </c>
      <c r="E19" t="b">
        <v>0</v>
      </c>
    </row>
    <row r="20" spans="1:5" x14ac:dyDescent="0.2">
      <c r="A20" t="s">
        <v>257</v>
      </c>
      <c r="B20">
        <v>0.01</v>
      </c>
      <c r="C20">
        <v>5</v>
      </c>
      <c r="D20">
        <v>1.0514493713901829</v>
      </c>
      <c r="E20" t="b">
        <v>1</v>
      </c>
    </row>
    <row r="21" spans="1:5" x14ac:dyDescent="0.2">
      <c r="A21" t="s">
        <v>96</v>
      </c>
      <c r="B21">
        <v>0.1</v>
      </c>
      <c r="C21">
        <v>1</v>
      </c>
      <c r="D21">
        <v>0.28793113699080658</v>
      </c>
      <c r="E21" t="b">
        <v>0</v>
      </c>
    </row>
    <row r="22" spans="1:5" x14ac:dyDescent="0.2">
      <c r="A22" t="s">
        <v>161</v>
      </c>
      <c r="B22">
        <v>1.01</v>
      </c>
      <c r="C22">
        <v>1.3</v>
      </c>
      <c r="D22">
        <v>1.01</v>
      </c>
      <c r="E22" t="b">
        <v>0</v>
      </c>
    </row>
    <row r="23" spans="1:5" x14ac:dyDescent="0.2">
      <c r="A23" t="s">
        <v>266</v>
      </c>
      <c r="B23">
        <v>1E-3</v>
      </c>
      <c r="C23">
        <v>1</v>
      </c>
      <c r="D23">
        <v>1E-3</v>
      </c>
      <c r="E23" t="b">
        <v>1</v>
      </c>
    </row>
    <row r="24" spans="1:5" x14ac:dyDescent="0.2">
      <c r="A24" t="s">
        <v>267</v>
      </c>
      <c r="B24">
        <v>1.0000000000000001E-9</v>
      </c>
      <c r="C24">
        <v>1E-3</v>
      </c>
      <c r="D24">
        <v>3.4772637046005593E-5</v>
      </c>
      <c r="E24" t="b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767B-9EEE-41C2-9591-8F04446E7E26}">
  <dimension ref="A2:D34"/>
  <sheetViews>
    <sheetView zoomScaleNormal="100" workbookViewId="0">
      <selection activeCell="L16" sqref="L16"/>
    </sheetView>
  </sheetViews>
  <sheetFormatPr baseColWidth="10" defaultColWidth="8.83203125" defaultRowHeight="15" x14ac:dyDescent="0.2"/>
  <cols>
    <col min="3" max="3" width="12" customWidth="1"/>
  </cols>
  <sheetData>
    <row r="2" spans="1:4" x14ac:dyDescent="0.2">
      <c r="A2" t="s">
        <v>211</v>
      </c>
      <c r="B2" t="s">
        <v>193</v>
      </c>
      <c r="C2" t="s">
        <v>214</v>
      </c>
      <c r="D2" t="s">
        <v>215</v>
      </c>
    </row>
    <row r="3" spans="1:4" x14ac:dyDescent="0.2">
      <c r="A3">
        <v>300</v>
      </c>
      <c r="C3">
        <v>1.2E+22</v>
      </c>
      <c r="D3">
        <v>9</v>
      </c>
    </row>
    <row r="4" spans="1:4" x14ac:dyDescent="0.2">
      <c r="A4">
        <v>300</v>
      </c>
      <c r="B4">
        <v>8.3333333333333329E-2</v>
      </c>
      <c r="C4">
        <v>1E+22</v>
      </c>
      <c r="D4">
        <v>4.5</v>
      </c>
    </row>
    <row r="5" spans="1:4" x14ac:dyDescent="0.2">
      <c r="B5">
        <v>0.13333333333333333</v>
      </c>
      <c r="C5">
        <v>2.4999999999999998E+22</v>
      </c>
      <c r="D5">
        <v>5.8</v>
      </c>
    </row>
    <row r="6" spans="1:4" x14ac:dyDescent="0.2">
      <c r="B6">
        <v>0.25</v>
      </c>
      <c r="C6">
        <v>3.6E+22</v>
      </c>
      <c r="D6">
        <v>7</v>
      </c>
    </row>
    <row r="7" spans="1:4" x14ac:dyDescent="0.2">
      <c r="B7">
        <v>0.33333333333333331</v>
      </c>
      <c r="C7">
        <v>3E+22</v>
      </c>
      <c r="D7">
        <v>6.4</v>
      </c>
    </row>
    <row r="8" spans="1:4" x14ac:dyDescent="0.2">
      <c r="B8">
        <v>6.6666666666666671E-3</v>
      </c>
      <c r="C8">
        <v>2.8E+22</v>
      </c>
      <c r="D8">
        <v>6.6</v>
      </c>
    </row>
    <row r="9" spans="1:4" x14ac:dyDescent="0.2">
      <c r="B9">
        <v>1.4999999999999999E-2</v>
      </c>
      <c r="C9">
        <v>3E+22</v>
      </c>
      <c r="D9">
        <v>6.8</v>
      </c>
    </row>
    <row r="10" spans="1:4" x14ac:dyDescent="0.2">
      <c r="B10">
        <v>3.3333333333333333E-2</v>
      </c>
      <c r="C10">
        <v>2.7000000000000002E+22</v>
      </c>
      <c r="D10">
        <v>7.2</v>
      </c>
    </row>
    <row r="11" spans="1:4" x14ac:dyDescent="0.2">
      <c r="B11">
        <v>0.13333333333333333</v>
      </c>
      <c r="C11">
        <v>2.4999999999999998E+22</v>
      </c>
      <c r="D11">
        <v>7</v>
      </c>
    </row>
    <row r="12" spans="1:4" x14ac:dyDescent="0.2">
      <c r="B12">
        <v>0.16666666666666666</v>
      </c>
      <c r="C12">
        <v>2.2E+22</v>
      </c>
      <c r="D12">
        <v>7.5</v>
      </c>
    </row>
    <row r="14" spans="1:4" x14ac:dyDescent="0.2">
      <c r="A14">
        <v>350</v>
      </c>
      <c r="B14">
        <v>1.6666666666666667</v>
      </c>
      <c r="C14">
        <v>3E+22</v>
      </c>
      <c r="D14">
        <v>10</v>
      </c>
    </row>
    <row r="15" spans="1:4" x14ac:dyDescent="0.2">
      <c r="A15">
        <v>400</v>
      </c>
      <c r="B15">
        <v>1.6666666666666667</v>
      </c>
      <c r="C15">
        <v>1E+22</v>
      </c>
      <c r="D15">
        <v>22</v>
      </c>
    </row>
    <row r="17" spans="1:4" x14ac:dyDescent="0.2">
      <c r="A17">
        <v>708</v>
      </c>
      <c r="B17">
        <v>0.10666666666666667</v>
      </c>
    </row>
    <row r="18" spans="1:4" x14ac:dyDescent="0.2">
      <c r="A18">
        <v>668</v>
      </c>
      <c r="B18">
        <v>5.5000000000000007E-2</v>
      </c>
      <c r="C18">
        <v>7E+20</v>
      </c>
      <c r="D18">
        <v>33</v>
      </c>
    </row>
    <row r="19" spans="1:4" x14ac:dyDescent="0.2">
      <c r="A19">
        <v>668</v>
      </c>
      <c r="B19">
        <v>0.10666666666666667</v>
      </c>
      <c r="C19">
        <v>2E+20</v>
      </c>
      <c r="D19">
        <v>56</v>
      </c>
    </row>
    <row r="20" spans="1:4" x14ac:dyDescent="0.2">
      <c r="A20">
        <v>668</v>
      </c>
      <c r="B20">
        <v>0.3</v>
      </c>
      <c r="C20">
        <v>2E+20</v>
      </c>
      <c r="D20">
        <v>62</v>
      </c>
    </row>
    <row r="21" spans="1:4" x14ac:dyDescent="0.2">
      <c r="A21">
        <v>623</v>
      </c>
      <c r="B21">
        <v>3.3333333333333333E-2</v>
      </c>
      <c r="C21">
        <v>8E+20</v>
      </c>
      <c r="D21">
        <v>10</v>
      </c>
    </row>
    <row r="22" spans="1:4" x14ac:dyDescent="0.2">
      <c r="A22">
        <v>623</v>
      </c>
      <c r="B22">
        <v>8.8333333333333333E-2</v>
      </c>
      <c r="C22">
        <v>2.7E+21</v>
      </c>
      <c r="D22">
        <v>23</v>
      </c>
    </row>
    <row r="23" spans="1:4" x14ac:dyDescent="0.2">
      <c r="A23">
        <v>573</v>
      </c>
      <c r="B23">
        <v>6.3333333333333325E-2</v>
      </c>
      <c r="C23">
        <v>1.2E+22</v>
      </c>
      <c r="D23">
        <v>9</v>
      </c>
    </row>
    <row r="25" spans="1:4" x14ac:dyDescent="0.2">
      <c r="A25">
        <v>573</v>
      </c>
      <c r="B25">
        <v>0.2</v>
      </c>
      <c r="C25">
        <v>1.2000000000000082E+22</v>
      </c>
    </row>
    <row r="26" spans="1:4" x14ac:dyDescent="0.2">
      <c r="A26">
        <v>623</v>
      </c>
      <c r="B26">
        <v>0.2</v>
      </c>
      <c r="C26">
        <v>2.4000000000000094E+21</v>
      </c>
    </row>
    <row r="27" spans="1:4" x14ac:dyDescent="0.2">
      <c r="A27">
        <v>673</v>
      </c>
      <c r="B27">
        <v>0.2</v>
      </c>
      <c r="C27">
        <v>2.0000000000000052E+20</v>
      </c>
    </row>
    <row r="29" spans="1:4" x14ac:dyDescent="0.2">
      <c r="A29">
        <v>478</v>
      </c>
      <c r="B29">
        <v>2</v>
      </c>
      <c r="C29">
        <v>6.0000000000000151E+22</v>
      </c>
    </row>
    <row r="30" spans="1:4" x14ac:dyDescent="0.2">
      <c r="A30">
        <v>523</v>
      </c>
      <c r="B30">
        <v>2</v>
      </c>
      <c r="C30">
        <v>3.2000000000000243E+22</v>
      </c>
    </row>
    <row r="31" spans="1:4" x14ac:dyDescent="0.2">
      <c r="A31">
        <v>573</v>
      </c>
      <c r="B31">
        <v>2</v>
      </c>
      <c r="C31">
        <v>1.8000000000000046E+22</v>
      </c>
    </row>
    <row r="32" spans="1:4" x14ac:dyDescent="0.2">
      <c r="A32">
        <v>623</v>
      </c>
      <c r="B32">
        <v>2</v>
      </c>
      <c r="C32">
        <v>4.6000000000000121E+21</v>
      </c>
    </row>
    <row r="33" spans="1:3" x14ac:dyDescent="0.2">
      <c r="A33">
        <v>673</v>
      </c>
      <c r="B33">
        <v>2</v>
      </c>
      <c r="C33">
        <v>1.4000000000000063E+21</v>
      </c>
    </row>
    <row r="34" spans="1:3" x14ac:dyDescent="0.2">
      <c r="A34">
        <v>723</v>
      </c>
      <c r="B34">
        <v>2</v>
      </c>
      <c r="C34">
        <v>1.8000000000000134E+20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Material_Environment</vt:lpstr>
      <vt:lpstr>Physical_Properties</vt:lpstr>
      <vt:lpstr>Model_Parameters</vt:lpstr>
      <vt:lpstr>Northwood</vt:lpstr>
      <vt:lpstr>Targets_A</vt:lpstr>
      <vt:lpstr>Targets_C</vt:lpstr>
      <vt:lpstr>Northwood_NEW</vt:lpstr>
      <vt:lpstr>Hellio</vt:lpstr>
      <vt:lpstr>Jostsons_NEW</vt:lpstr>
      <vt:lpstr>Jostons</vt:lpstr>
      <vt:lpstr>Gilbert</vt:lpstr>
      <vt:lpstr>Gilbert_NEW</vt:lpstr>
      <vt:lpstr>Cockeram</vt:lpstr>
      <vt:lpstr>Tournadre</vt:lpstr>
      <vt:lpstr>Kobylyansky</vt:lpstr>
      <vt:lpstr>Harte</vt:lpstr>
      <vt:lpstr>Params</vt:lpstr>
      <vt:lpstr>Targets_OLD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Escobar, Ruben</cp:lastModifiedBy>
  <dcterms:created xsi:type="dcterms:W3CDTF">2025-09-09T23:14:52Z</dcterms:created>
  <dcterms:modified xsi:type="dcterms:W3CDTF">2026-06-23T18:33:09Z</dcterms:modified>
</cp:coreProperties>
</file>