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40" tabRatio="600" firstSheet="0" activeTab="14" autoFilterDateGrouping="1"/>
  </bookViews>
  <sheets>
    <sheet name="Material_Environment" sheetId="1" state="visible" r:id="rId1"/>
    <sheet name="Physical_Properties" sheetId="2" state="visible" r:id="rId2"/>
    <sheet name="Model_Parameters" sheetId="3" state="visible" r:id="rId3"/>
    <sheet name="Northwood" sheetId="4" state="hidden" r:id="rId4"/>
    <sheet name="Targets_A" sheetId="5" state="visible" r:id="rId5"/>
    <sheet name="Targets_C" sheetId="6" state="visible" r:id="rId6"/>
    <sheet name="Northwood_NEW" sheetId="7" state="visible" r:id="rId7"/>
    <sheet name="Hellio" sheetId="8" state="visible" r:id="rId8"/>
    <sheet name="Jostsons_NEW" sheetId="9" state="visible" r:id="rId9"/>
    <sheet name="Jostons" sheetId="10" state="hidden" r:id="rId10"/>
    <sheet name="Gilbert" sheetId="11" state="hidden" r:id="rId11"/>
    <sheet name="Gilbert_NEW" sheetId="12" state="visible" r:id="rId12"/>
    <sheet name="Cockeram" sheetId="13" state="visible" r:id="rId13"/>
    <sheet name="Tournadre" sheetId="14" state="visible" r:id="rId14"/>
    <sheet name="Kobylyansky" sheetId="15" state="visible" r:id="rId15"/>
    <sheet name="Harte" sheetId="16" state="visible" r:id="rId16"/>
    <sheet name="Params" sheetId="17" state="visible" r:id="rId17"/>
    <sheet name="Targets_OLD" sheetId="18" state="hidden" r:id="rId18"/>
  </sheets>
  <definedNames>
    <definedName name="_xlnm._FilterDatabase" localSheetId="12" hidden="1">'Cockeram'!$A$1:$H$20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E+00"/>
    <numFmt numFmtId="165" formatCode="0.0%"/>
    <numFmt numFmtId="166" formatCode="0.000"/>
    <numFmt numFmtId="167" formatCode="0.0000"/>
    <numFmt numFmtId="168" formatCode="0.0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onsolas"/>
      <family val="3"/>
      <b val="1"/>
      <color rgb="FF800000"/>
      <sz val="7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Calibri"/>
      <family val="2"/>
      <sz val="8"/>
      <scheme val="minor"/>
    </font>
    <font>
      <name val="Consolas"/>
      <family val="3"/>
      <color rgb="FFABB2BF"/>
      <sz val="7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1" fontId="0" fillId="3" borderId="0" pivotButton="0" quotePrefix="0" xfId="0"/>
    <xf numFmtId="0" fontId="0" fillId="0" borderId="0" applyAlignment="1" pivotButton="0" quotePrefix="0" xfId="0">
      <alignment wrapText="1"/>
    </xf>
    <xf numFmtId="11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0" applyAlignment="1" pivotButton="0" quotePrefix="0" xfId="0">
      <alignment wrapText="1"/>
    </xf>
    <xf numFmtId="2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pivotButton="0" quotePrefix="0" xfId="0"/>
    <xf numFmtId="166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1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4" fillId="4" borderId="2" pivotButton="0" quotePrefix="0" xfId="0"/>
    <xf numFmtId="0" fontId="4" fillId="0" borderId="2" pivotButton="0" quotePrefix="0" xfId="0"/>
    <xf numFmtId="0" fontId="3" fillId="0" borderId="3" applyAlignment="1" pivotButton="0" quotePrefix="0" xfId="0">
      <alignment horizontal="left"/>
    </xf>
    <xf numFmtId="0" fontId="3" fillId="0" borderId="3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3" pivotButton="0" quotePrefix="0" xfId="0"/>
    <xf numFmtId="0" fontId="4" fillId="0" borderId="3" applyAlignment="1" pivotButton="0" quotePrefix="0" xfId="0">
      <alignment horizontal="center"/>
    </xf>
    <xf numFmtId="11" fontId="4" fillId="0" borderId="3" applyAlignment="1" pivotButton="0" quotePrefix="0" xfId="0">
      <alignment horizontal="center"/>
    </xf>
    <xf numFmtId="0" fontId="4" fillId="4" borderId="3" applyAlignment="1" pivotButton="0" quotePrefix="0" xfId="0">
      <alignment horizontal="left"/>
    </xf>
    <xf numFmtId="0" fontId="4" fillId="4" borderId="3" pivotButton="0" quotePrefix="0" xfId="0"/>
    <xf numFmtId="2" fontId="4" fillId="4" borderId="3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11" fontId="4" fillId="4" borderId="3" applyAlignment="1" pivotButton="0" quotePrefix="0" xfId="0">
      <alignment horizontal="center"/>
    </xf>
    <xf numFmtId="167" fontId="4" fillId="4" borderId="1" applyAlignment="1" pivotButton="0" quotePrefix="0" xfId="0">
      <alignment horizontal="center"/>
    </xf>
    <xf numFmtId="168" fontId="4" fillId="4" borderId="1" applyAlignment="1" pivotButton="0" quotePrefix="0" xfId="0">
      <alignment horizontal="center"/>
    </xf>
    <xf numFmtId="0" fontId="4" fillId="4" borderId="8" pivotButton="0" quotePrefix="0" xfId="0"/>
    <xf numFmtId="11" fontId="0" fillId="0" borderId="0" applyAlignment="1" pivotButton="0" quotePrefix="0" xfId="0">
      <alignment horizontal="center"/>
    </xf>
    <xf numFmtId="0" fontId="4" fillId="4" borderId="9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4" borderId="6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166" fontId="5" fillId="0" borderId="0" applyAlignment="1" pivotButton="0" quotePrefix="0" xfId="0">
      <alignment horizontal="center"/>
    </xf>
    <xf numFmtId="11" fontId="5" fillId="0" borderId="0" applyAlignment="1" pivotButton="0" quotePrefix="0" xfId="0">
      <alignment horizontal="center"/>
    </xf>
    <xf numFmtId="0" fontId="4" fillId="0" borderId="4" pivotButton="0" quotePrefix="0" xfId="0"/>
    <xf numFmtId="0" fontId="4" fillId="4" borderId="11" pivotButton="0" quotePrefix="0" xfId="0"/>
    <xf numFmtId="168" fontId="5" fillId="0" borderId="0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0" fontId="5" fillId="0" borderId="9" pivotButton="0" quotePrefix="0" xfId="0"/>
    <xf numFmtId="0" fontId="4" fillId="0" borderId="0" applyAlignment="1" pivotButton="0" quotePrefix="0" xfId="0">
      <alignment horizontal="left"/>
    </xf>
    <xf numFmtId="0" fontId="5" fillId="0" borderId="10" pivotButton="0" quotePrefix="0" xfId="0"/>
    <xf numFmtId="0" fontId="4" fillId="4" borderId="0" applyAlignment="1" pivotButton="0" quotePrefix="0" xfId="0">
      <alignment horizontal="left"/>
    </xf>
    <xf numFmtId="0" fontId="5" fillId="0" borderId="5" pivotButton="0" quotePrefix="0" xfId="0"/>
    <xf numFmtId="0" fontId="5" fillId="0" borderId="1" pivotButton="0" quotePrefix="0" xfId="0"/>
    <xf numFmtId="0" fontId="4" fillId="0" borderId="0" pivotButton="0" quotePrefix="0" xfId="0"/>
    <xf numFmtId="0" fontId="5" fillId="0" borderId="3" pivotButton="0" quotePrefix="0" xfId="0"/>
    <xf numFmtId="0" fontId="4" fillId="4" borderId="0" pivotButton="0" quotePrefix="0" xfId="0"/>
    <xf numFmtId="0" fontId="5" fillId="0" borderId="12" pivotButton="0" quotePrefix="0" xfId="0"/>
    <xf numFmtId="11" fontId="5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1" fontId="5" fillId="0" borderId="3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1" fontId="5" fillId="0" borderId="12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8" fontId="5" fillId="0" borderId="3" applyAlignment="1" pivotButton="0" quotePrefix="0" xfId="0">
      <alignment horizontal="center"/>
    </xf>
    <xf numFmtId="167" fontId="4" fillId="4" borderId="0" applyAlignment="1" pivotButton="0" quotePrefix="0" xfId="0">
      <alignment horizontal="center"/>
    </xf>
    <xf numFmtId="168" fontId="5" fillId="0" borderId="1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11" fontId="4" fillId="0" borderId="0" applyAlignment="1" pivotButton="0" quotePrefix="0" xfId="0">
      <alignment horizontal="center"/>
    </xf>
    <xf numFmtId="11" fontId="4" fillId="4" borderId="0" applyAlignment="1" pivotButton="0" quotePrefix="0" xfId="0">
      <alignment horizontal="center"/>
    </xf>
    <xf numFmtId="0" fontId="5" fillId="0" borderId="2" pivotButton="0" quotePrefix="0" xfId="0"/>
    <xf numFmtId="0" fontId="5" fillId="0" borderId="11" pivotButton="0" quotePrefix="0" xfId="0"/>
    <xf numFmtId="0" fontId="5" fillId="0" borderId="4" pivotButton="0" quotePrefix="0" xfId="0"/>
    <xf numFmtId="0" fontId="3" fillId="0" borderId="7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4" fillId="4" borderId="12" applyAlignment="1" pivotButton="0" quotePrefix="0" xfId="0">
      <alignment horizontal="center"/>
    </xf>
    <xf numFmtId="11" fontId="4" fillId="4" borderId="12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0" fontId="4" fillId="0" borderId="11" pivotButton="0" quotePrefix="0" xfId="0"/>
    <xf numFmtId="0" fontId="3" fillId="0" borderId="10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166" fontId="5" fillId="0" borderId="12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dxfs count="48"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border outline="0">
        <right style="thin">
          <color auto="1"/>
        </right>
        <top style="thin">
          <color auto="1"/>
        </top>
      </border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border outline="0">
        <bottom style="thin">
          <color auto="1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family val="1"/>
        <strike val="0"/>
        <outline val="0"/>
        <shadow val="0"/>
        <color theme="1"/>
        <vertAlign val="baseline"/>
      </font>
    </dxf>
    <dxf>
      <border outline="0">
        <bottom style="thin">
          <color auto="1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0" tint="-0.1499984740745262"/>
          <bgColor theme="0" tint="-0.1499984740745262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0" tint="-0.1499984740745262"/>
          <bgColor theme="0" tint="-0.1499984740745262"/>
        </patternFill>
      </fill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numFmt numFmtId="15" formatCode="0.00E+00"/>
      <fill>
        <patternFill patternType="solid">
          <fgColor theme="0" tint="-0.1499984740745262"/>
          <bgColor theme="0" tint="-0.1499984740745262"/>
        </patternFill>
      </fill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0" tint="-0.1499984740745262"/>
          <bgColor theme="0" tint="-0.1499984740745262"/>
        </patternFill>
      </fill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0" tint="-0.1499984740745262"/>
          <bgColor theme="0" tint="-0.1499984740745262"/>
        </patternFill>
      </fill>
      <alignment horizontal="center" vertical="bottom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theme="0" tint="-0.1499984740745262"/>
          <bgColor auto="1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theme="0" tint="-0.1499984740745262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numFmt numFmtId="15" formatCode="0.00E+00"/>
      <fill>
        <patternFill>
          <fgColor theme="0" tint="-0.1499984740745262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theme="0" tint="-0.1499984740745262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theme="0" tint="-0.1499984740745262"/>
          <bgColor auto="1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theme="0" tint="-0.1499984740745262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  <numFmt numFmtId="168" formatCode="0.00000"/>
      <fill>
        <patternFill patternType="solid">
          <fgColor theme="0" tint="-0.1499984740745262"/>
          <bgColor theme="0" tint="-0.1499984740745262"/>
        </patternFill>
      </fill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bottom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able5" displayName="Table5" ref="A1:E74" headerRowCount="1" totalsRowShown="0" headerRowDxfId="43" dataDxfId="41" headerRowBorderDxfId="42" tableBorderDxfId="40" totalsRowBorderDxfId="39">
  <autoFilter ref="A1:E74"/>
  <sortState ref="A2:E74">
    <sortCondition ref="A1:A74"/>
  </sortState>
  <tableColumns count="5">
    <tableColumn id="1" name="Temp. (K)" dataDxfId="38"/>
    <tableColumn id="2" name="Dose (dpa)" dataDxfId="37"/>
    <tableColumn id="3" name="Number Density (m^-3)" dataDxfId="36"/>
    <tableColumn id="4" name="Mean Size (nm)" dataDxfId="35"/>
    <tableColumn id="5" name="Source" dataDxfId="3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1:E6" headerRowCount="1" totalsRowShown="0" headerRowDxfId="33" headerRowBorderDxfId="32" tableBorderDxfId="31" totalsRowBorderDxfId="30">
  <autoFilter ref="A1:E6"/>
  <tableColumns count="5">
    <tableColumn id="1" name="Temp. (K)" dataDxfId="29"/>
    <tableColumn id="2" name="Dose (dpa)" dataDxfId="28"/>
    <tableColumn id="3" name="Number Density (m^-3)" dataDxfId="27"/>
    <tableColumn id="4" name="Mean Size (nm)" dataDxfId="26"/>
    <tableColumn id="5" name="Source" dataDxfId="2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46" headerRowCount="1" totalsRowShown="0" headerRowDxfId="24" dataDxfId="22" headerRowBorderDxfId="23" tableBorderDxfId="21">
  <autoFilter ref="A1:I46"/>
  <sortState ref="A2:I46">
    <sortCondition ref="E1:E46"/>
  </sortState>
  <tableColumns count="9">
    <tableColumn id="1" name="Material/Alloy" dataDxfId="20"/>
    <tableColumn id="2" name="Irradiation Source" dataDxfId="19"/>
    <tableColumn id="9" name="Fluence (n/m^2)" dataDxfId="18"/>
    <tableColumn id="3" name="Dose (dpa)" dataDxfId="17"/>
    <tableColumn id="4" name="Temp. (K)" dataDxfId="16"/>
    <tableColumn id="5" name="Loop Type" dataDxfId="15"/>
    <tableColumn id="6" name="Number Density (m^-3)" dataDxfId="14"/>
    <tableColumn id="7" name="Mean Size (nm)" dataDxfId="13"/>
    <tableColumn id="8" name="Source" dataDxfId="1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4" name="Table2" displayName="Table2" ref="A1:I8" headerRowCount="1" totalsRowShown="0" headerRowDxfId="47" headerRowBorderDxfId="46" tableBorderDxfId="45">
  <autoFilter ref="A1:I8"/>
  <tableColumns count="9">
    <tableColumn id="1" name="Material/Alloy"/>
    <tableColumn id="2" name="Irradiation Source"/>
    <tableColumn id="3" name="Fluence (n/m^2)"/>
    <tableColumn id="4" name="Dose (dpa)" dataDxfId="44">
      <calculatedColumnFormula>C2/6E+24</calculatedColumnFormula>
    </tableColumn>
    <tableColumn id="5" name="Temp. (K)"/>
    <tableColumn id="6" name="Loop Type"/>
    <tableColumn id="7" name="Number Density (m^-3)"/>
    <tableColumn id="8" name="Mean Size (nm)"/>
    <tableColumn id="9" name="Sourc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id="5" name="Table1" displayName="Table1" ref="A1:H16" headerRowCount="1" totalsRowShown="0" headerRowDxfId="11" dataDxfId="9" headerRowBorderDxfId="10" tableBorderDxfId="8">
  <autoFilter ref="A1:H16"/>
  <tableColumns count="8">
    <tableColumn id="1" name="Material/Alloy" dataDxfId="7"/>
    <tableColumn id="2" name="Irradiation Source" dataDxfId="6"/>
    <tableColumn id="3" name="Dose (dpa)" dataDxfId="5"/>
    <tableColumn id="4" name="Temp. (K)" dataDxfId="4"/>
    <tableColumn id="5" name="Loop Type" dataDxfId="3"/>
    <tableColumn id="6" name="Number Density (m^-3)" dataDxfId="2"/>
    <tableColumn id="7" name="Mean Size (nm)" dataDxfId="1"/>
    <tableColumn id="8" name="Sourc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200" zoomScaleNormal="200" workbookViewId="0">
      <selection activeCell="A1" sqref="A1:E13"/>
    </sheetView>
  </sheetViews>
  <sheetFormatPr baseColWidth="10" defaultColWidth="8.83203125" defaultRowHeight="15"/>
  <cols>
    <col width="10" customWidth="1" min="1" max="1"/>
    <col width="49" customWidth="1" min="2" max="2"/>
    <col width="10" customWidth="1" min="3" max="3"/>
    <col width="19" customWidth="1" min="4" max="4"/>
    <col width="29" customWidth="1" min="5" max="5"/>
  </cols>
  <sheetData>
    <row r="1">
      <c r="A1" s="1" t="inlineStr">
        <is>
          <t>Notation</t>
        </is>
      </c>
      <c r="B1" s="1" t="inlineStr">
        <is>
          <t>Parameter</t>
        </is>
      </c>
      <c r="C1" s="1" t="inlineStr">
        <is>
          <t>Units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rho</t>
        </is>
      </c>
      <c r="B2" t="inlineStr">
        <is>
          <t>dislocation density</t>
        </is>
      </c>
      <c r="C2" t="inlineStr">
        <is>
          <t>m^-2</t>
        </is>
      </c>
      <c r="D2" s="2" t="n">
        <v>150000000000000</v>
      </c>
      <c r="E2" t="inlineStr">
        <is>
          <t>Network dislocation density</t>
        </is>
      </c>
    </row>
    <row r="3">
      <c r="A3" t="inlineStr">
        <is>
          <t>d</t>
        </is>
      </c>
      <c r="B3" t="inlineStr">
        <is>
          <t>grain diameter</t>
        </is>
      </c>
      <c r="C3" t="inlineStr">
        <is>
          <t>m</t>
        </is>
      </c>
      <c r="D3" s="2" t="n">
        <v>1e-05</v>
      </c>
      <c r="E3" t="inlineStr">
        <is>
          <t>Average grain size</t>
        </is>
      </c>
    </row>
    <row r="4">
      <c r="A4" t="inlineStr">
        <is>
          <t>r_p</t>
        </is>
      </c>
      <c r="B4" t="inlineStr">
        <is>
          <t>precipitate radius</t>
        </is>
      </c>
      <c r="C4" t="inlineStr">
        <is>
          <t>m</t>
        </is>
      </c>
      <c r="D4" s="2" t="n">
        <v>5e-08</v>
      </c>
      <c r="E4" t="inlineStr">
        <is>
          <t>Average precipitate radius</t>
        </is>
      </c>
    </row>
    <row r="5">
      <c r="A5" t="inlineStr">
        <is>
          <t>N_P</t>
        </is>
      </c>
      <c r="B5" t="inlineStr">
        <is>
          <t>precipitate number density</t>
        </is>
      </c>
      <c r="C5" t="inlineStr">
        <is>
          <t>m^-3</t>
        </is>
      </c>
      <c r="D5" t="n">
        <v>1e+20</v>
      </c>
      <c r="E5" t="inlineStr">
        <is>
          <t>Precipitate number density</t>
        </is>
      </c>
    </row>
    <row r="6">
      <c r="A6" t="inlineStr">
        <is>
          <t>T</t>
        </is>
      </c>
      <c r="B6" t="inlineStr">
        <is>
          <t>Irradiation temperature</t>
        </is>
      </c>
      <c r="C6" t="inlineStr">
        <is>
          <t>K</t>
        </is>
      </c>
      <c r="D6" t="n">
        <v>573</v>
      </c>
      <c r="E6" t="inlineStr">
        <is>
          <t>Irradiation temperature</t>
        </is>
      </c>
    </row>
    <row r="7">
      <c r="A7" t="inlineStr">
        <is>
          <t>G</t>
        </is>
      </c>
      <c r="B7" t="inlineStr">
        <is>
          <t>Irradiation dose rate</t>
        </is>
      </c>
      <c r="C7" t="inlineStr">
        <is>
          <t>dpa.s^-1</t>
        </is>
      </c>
      <c r="D7" s="2" t="n">
        <v>1e-07</v>
      </c>
      <c r="E7" t="inlineStr">
        <is>
          <t>Damage rate</t>
        </is>
      </c>
    </row>
    <row r="8">
      <c r="A8" t="inlineStr">
        <is>
          <t>N_C</t>
        </is>
      </c>
      <c r="B8" t="inlineStr">
        <is>
          <t>Nucleated void (cavity) density (if needed)</t>
        </is>
      </c>
      <c r="C8" t="inlineStr">
        <is>
          <t>m^-3</t>
        </is>
      </c>
      <c r="D8" s="2" t="n">
        <v>1e+20</v>
      </c>
      <c r="E8" t="inlineStr">
        <is>
          <t>Void nucleation density</t>
        </is>
      </c>
    </row>
    <row r="9">
      <c r="A9" t="inlineStr">
        <is>
          <t>N_iL</t>
        </is>
      </c>
      <c r="B9" t="inlineStr">
        <is>
          <t>Nucleated interstitial loop density (if needed)</t>
        </is>
      </c>
      <c r="C9" t="inlineStr">
        <is>
          <t>m^-3</t>
        </is>
      </c>
      <c r="D9" t="n">
        <v>1e+21</v>
      </c>
      <c r="E9" t="inlineStr">
        <is>
          <t>Loop nucleation density</t>
        </is>
      </c>
    </row>
    <row r="10">
      <c r="A10" t="inlineStr">
        <is>
          <t>sigma_n</t>
        </is>
      </c>
      <c r="B10" t="inlineStr">
        <is>
          <t>normal stress</t>
        </is>
      </c>
      <c r="C10" t="inlineStr">
        <is>
          <t>Pa</t>
        </is>
      </c>
      <c r="D10" s="2" t="n">
        <v>0</v>
      </c>
      <c r="E10" t="inlineStr">
        <is>
          <t>uniaxial applied stress</t>
        </is>
      </c>
    </row>
    <row r="11">
      <c r="A11" t="inlineStr">
        <is>
          <t>sigma_h</t>
        </is>
      </c>
      <c r="B11" t="inlineStr">
        <is>
          <t>hydrostatic stress</t>
        </is>
      </c>
      <c r="C11" t="inlineStr">
        <is>
          <t>Pa</t>
        </is>
      </c>
      <c r="D11" s="2" t="n">
        <v>0</v>
      </c>
      <c r="E11" t="inlineStr">
        <is>
          <t>hydostatic stress</t>
        </is>
      </c>
    </row>
    <row r="12">
      <c r="A12" t="inlineStr">
        <is>
          <t>rho_300</t>
        </is>
      </c>
      <c r="B12" t="inlineStr">
        <is>
          <t>network dislocation density anchor @300 K</t>
        </is>
      </c>
      <c r="D12" t="n">
        <v>100000000000000</v>
      </c>
    </row>
    <row r="13">
      <c r="A13" t="inlineStr">
        <is>
          <t>rho_600</t>
        </is>
      </c>
      <c r="B13" t="inlineStr">
        <is>
          <t>network dislocation density anchor @600 K</t>
        </is>
      </c>
      <c r="D13" t="n">
        <v>200115884165306.6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zoomScale="114" zoomScaleNormal="200" workbookViewId="0">
      <selection activeCell="A1" sqref="A1:XFD33"/>
    </sheetView>
  </sheetViews>
  <sheetFormatPr baseColWidth="10" defaultColWidth="8.83203125" defaultRowHeight="15"/>
  <cols>
    <col width="12" customWidth="1" min="1" max="1"/>
    <col width="50" customWidth="1" min="2" max="2"/>
    <col width="10" customWidth="1" min="3" max="3"/>
    <col width="18" customWidth="1" min="4" max="4"/>
    <col width="37" customWidth="1" min="5" max="5"/>
    <col width="10.83203125" bestFit="1" customWidth="1" min="6" max="6"/>
  </cols>
  <sheetData>
    <row r="1">
      <c r="A1" s="1" t="inlineStr">
        <is>
          <t>Notation</t>
        </is>
      </c>
      <c r="B1" s="1" t="inlineStr">
        <is>
          <t>Property</t>
        </is>
      </c>
      <c r="C1" s="1" t="inlineStr">
        <is>
          <t>Units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a</t>
        </is>
      </c>
      <c r="B2" t="inlineStr">
        <is>
          <t>lattice parameter</t>
        </is>
      </c>
      <c r="C2" t="inlineStr">
        <is>
          <t>m</t>
        </is>
      </c>
      <c r="D2" t="n">
        <v>3.23e-10</v>
      </c>
      <c r="E2" t="inlineStr">
        <is>
          <t>Crystal lattice parameter</t>
        </is>
      </c>
    </row>
    <row r="3">
      <c r="A3" t="inlineStr">
        <is>
          <t>b_a</t>
        </is>
      </c>
      <c r="B3" t="inlineStr">
        <is>
          <t>magnitude of Burgers vector along a-direction</t>
        </is>
      </c>
      <c r="C3" t="inlineStr">
        <is>
          <t>m</t>
        </is>
      </c>
      <c r="D3" t="n">
        <v>3.23e-10</v>
      </c>
      <c r="E3" t="inlineStr">
        <is>
          <t>Burgers vector a-direction</t>
        </is>
      </c>
    </row>
    <row r="4">
      <c r="A4" t="inlineStr">
        <is>
          <t>b_c</t>
        </is>
      </c>
      <c r="B4" t="inlineStr">
        <is>
          <t>magnitude of Burgers vector along c-direction</t>
        </is>
      </c>
      <c r="C4" t="inlineStr">
        <is>
          <t>m</t>
        </is>
      </c>
      <c r="D4" t="n">
        <v>5.15e-10</v>
      </c>
      <c r="E4" t="inlineStr">
        <is>
          <t>Burgers vector c-direction</t>
        </is>
      </c>
    </row>
    <row r="5">
      <c r="A5" t="inlineStr">
        <is>
          <t>Omega</t>
        </is>
      </c>
      <c r="B5" t="inlineStr">
        <is>
          <t>atomic volume</t>
        </is>
      </c>
      <c r="C5" t="inlineStr">
        <is>
          <t>m^3</t>
        </is>
      </c>
      <c r="D5" s="2" t="n">
        <v>2.326552782049238e-29</v>
      </c>
      <c r="E5" t="inlineStr">
        <is>
          <t>Atomic volume, hcp Zr: (sqrt(3)/2)*a^2*c/2 with a=b_a, c=b_c (2 atoms per primitive cell). Was 1.2e-29 = V_cell/4, which counts 4 atoms in a cell holding 2; cross-checks against M_Zr/(rho_SI*N_A)=2.3233e-29 to 0.14%.</t>
        </is>
      </c>
    </row>
    <row r="6">
      <c r="A6" t="inlineStr">
        <is>
          <t>z_c</t>
        </is>
      </c>
      <c r="B6" t="inlineStr">
        <is>
          <t>Number of unstable sites around a vacancy</t>
        </is>
      </c>
      <c r="C6" t="inlineStr">
        <is>
          <t>–</t>
        </is>
      </c>
      <c r="D6" t="n">
        <v>48</v>
      </c>
      <c r="E6" t="inlineStr">
        <is>
          <t>Coordination number</t>
        </is>
      </c>
    </row>
    <row r="7">
      <c r="A7" t="inlineStr">
        <is>
          <t>recom</t>
        </is>
      </c>
      <c r="B7" t="inlineStr">
        <is>
          <t>recombination radius factor</t>
        </is>
      </c>
      <c r="D7" s="2" t="n">
        <v>0.5</v>
      </c>
    </row>
    <row r="8" customFormat="1" s="7"/>
    <row r="9">
      <c r="A9" t="inlineStr">
        <is>
          <t>E_m_i</t>
        </is>
      </c>
      <c r="B9" t="inlineStr">
        <is>
          <t>migration energy of single interstitials</t>
        </is>
      </c>
      <c r="C9" t="inlineStr">
        <is>
          <t>eV</t>
        </is>
      </c>
      <c r="D9" t="n">
        <v>0.95</v>
      </c>
      <c r="E9" t="inlineStr">
        <is>
          <t>Interstitial migration barrier</t>
        </is>
      </c>
    </row>
    <row r="10">
      <c r="A10" t="inlineStr">
        <is>
          <t>E_m_2i</t>
        </is>
      </c>
      <c r="B10" t="inlineStr">
        <is>
          <t>migration energy of di/tri  interstitials</t>
        </is>
      </c>
      <c r="C10" t="inlineStr">
        <is>
          <t>eV</t>
        </is>
      </c>
      <c r="D10" t="n">
        <v>0.8</v>
      </c>
      <c r="E10" t="inlineStr">
        <is>
          <t>di/tri Interstitial migration barrier</t>
        </is>
      </c>
    </row>
    <row r="11">
      <c r="A11" t="inlineStr">
        <is>
          <t>E_m_v</t>
        </is>
      </c>
      <c r="B11" t="inlineStr">
        <is>
          <t>migration energy of single vacancy</t>
        </is>
      </c>
      <c r="C11" t="inlineStr">
        <is>
          <t>eV</t>
        </is>
      </c>
      <c r="D11" t="n">
        <v>1.2</v>
      </c>
      <c r="E11" t="inlineStr">
        <is>
          <t>Vacancy migration barrier</t>
        </is>
      </c>
    </row>
    <row r="12">
      <c r="A12" t="inlineStr">
        <is>
          <t>E_F_v</t>
        </is>
      </c>
      <c r="B12" t="inlineStr">
        <is>
          <t>formation energy of a vacancy</t>
        </is>
      </c>
      <c r="C12" t="inlineStr">
        <is>
          <t>eV</t>
        </is>
      </c>
      <c r="D12" t="n">
        <v>1.6</v>
      </c>
      <c r="E12" t="inlineStr">
        <is>
          <t>Vacancy formation energy</t>
        </is>
      </c>
    </row>
    <row r="13">
      <c r="A13" t="inlineStr">
        <is>
          <t>E_F_i</t>
        </is>
      </c>
      <c r="B13" t="inlineStr">
        <is>
          <t>formation energy of an interstitial</t>
        </is>
      </c>
      <c r="C13" t="inlineStr">
        <is>
          <t>eV</t>
        </is>
      </c>
      <c r="D13" t="n">
        <v>3</v>
      </c>
      <c r="E13" t="inlineStr">
        <is>
          <t>Interstitial formation energy</t>
        </is>
      </c>
    </row>
    <row r="14">
      <c r="A14" t="inlineStr">
        <is>
          <t>E_b_2i</t>
        </is>
      </c>
      <c r="B14" t="inlineStr">
        <is>
          <t>binding energy of a diinterstitial</t>
        </is>
      </c>
      <c r="C14" t="inlineStr">
        <is>
          <t>eV</t>
        </is>
      </c>
      <c r="D14" t="n">
        <v>1</v>
      </c>
      <c r="E14" t="inlineStr">
        <is>
          <t>binding energy of a diinterstitial</t>
        </is>
      </c>
    </row>
    <row r="15">
      <c r="A15" t="inlineStr">
        <is>
          <t>E_b_3i</t>
        </is>
      </c>
      <c r="B15" t="inlineStr">
        <is>
          <t>binding energy of a triinterstitial</t>
        </is>
      </c>
      <c r="C15" t="inlineStr">
        <is>
          <t>eV</t>
        </is>
      </c>
      <c r="D15" t="n">
        <v>2</v>
      </c>
      <c r="E15" t="inlineStr">
        <is>
          <t>binding energy of a diinterstitial</t>
        </is>
      </c>
    </row>
    <row r="16" customFormat="1" s="7"/>
    <row r="17">
      <c r="A17" t="inlineStr">
        <is>
          <t>gamma</t>
        </is>
      </c>
      <c r="B17" t="inlineStr">
        <is>
          <t>surface energy</t>
        </is>
      </c>
      <c r="C17" t="inlineStr">
        <is>
          <t>eV.m^-2</t>
        </is>
      </c>
      <c r="D17" s="2" t="n">
        <v>1.5e+19</v>
      </c>
      <c r="E17" t="inlineStr">
        <is>
          <t>Surface energy</t>
        </is>
      </c>
    </row>
    <row r="18">
      <c r="A18" t="inlineStr">
        <is>
          <t>gamma_sf</t>
        </is>
      </c>
      <c r="B18" t="inlineStr">
        <is>
          <t>stacking fault energy</t>
        </is>
      </c>
      <c r="C18" t="inlineStr">
        <is>
          <t>eV.m^-2</t>
        </is>
      </c>
      <c r="D18" s="2" t="n">
        <v>8e+17</v>
      </c>
      <c r="E18" t="inlineStr">
        <is>
          <t>Stacking fault energy</t>
        </is>
      </c>
    </row>
    <row r="19" customFormat="1" s="7">
      <c r="D19" s="8" t="n"/>
    </row>
    <row r="20">
      <c r="A20" t="inlineStr">
        <is>
          <t>nu_i</t>
        </is>
      </c>
      <c r="B20" t="inlineStr">
        <is>
          <t>interstitial vibration frequency</t>
        </is>
      </c>
      <c r="C20" t="inlineStr">
        <is>
          <t>s^-1</t>
        </is>
      </c>
      <c r="D20" s="2" t="n">
        <v>5000000000000</v>
      </c>
      <c r="E20" t="inlineStr">
        <is>
          <t>Interstitial attempt frequency</t>
        </is>
      </c>
    </row>
    <row r="21">
      <c r="A21" t="inlineStr">
        <is>
          <t>nu_v</t>
        </is>
      </c>
      <c r="B21" t="inlineStr">
        <is>
          <t>vacancy vibration frequency</t>
        </is>
      </c>
      <c r="C21" t="inlineStr">
        <is>
          <t>s^-1</t>
        </is>
      </c>
      <c r="D21" s="2" t="n">
        <v>5000000000000</v>
      </c>
      <c r="E21" t="inlineStr">
        <is>
          <t>Vacancy attempt frequency</t>
        </is>
      </c>
    </row>
    <row r="22" customFormat="1" s="7"/>
    <row r="23">
      <c r="A23" t="inlineStr">
        <is>
          <t>epsilon_vL</t>
        </is>
      </c>
      <c r="B23" t="inlineStr">
        <is>
          <t>Collision cascade efficiency to generate a vacancy loop</t>
        </is>
      </c>
      <c r="C23" t="inlineStr">
        <is>
          <t>–</t>
        </is>
      </c>
      <c r="D23" s="2" t="n">
        <v>0.02038803625249105</v>
      </c>
      <c r="E23" t="inlineStr">
        <is>
          <t>Vacancy loop cascade efficiency</t>
        </is>
      </c>
    </row>
    <row r="24">
      <c r="A24" t="inlineStr">
        <is>
          <t>epsilon_2i</t>
        </is>
      </c>
      <c r="B24" t="inlineStr">
        <is>
          <t>Collision cascade efficiency to generate a di-interstial</t>
        </is>
      </c>
      <c r="C24" t="inlineStr">
        <is>
          <t>–</t>
        </is>
      </c>
      <c r="D24" s="2" t="n">
        <v>0.00335</v>
      </c>
      <c r="E24" t="inlineStr">
        <is>
          <t>Di-interstitial cascade efficiency</t>
        </is>
      </c>
    </row>
    <row r="25">
      <c r="A25" t="inlineStr">
        <is>
          <t>epsilon_3i</t>
        </is>
      </c>
      <c r="B25" t="inlineStr">
        <is>
          <t>Collision cascade efficiency to generate a tri-interstitial</t>
        </is>
      </c>
      <c r="C25" t="inlineStr">
        <is>
          <t>–</t>
        </is>
      </c>
      <c r="D25" s="2" t="n">
        <v>0.00335</v>
      </c>
      <c r="E25" t="inlineStr">
        <is>
          <t>Tri-interstitial cascade efficiency</t>
        </is>
      </c>
    </row>
    <row r="26" customFormat="1" s="7"/>
    <row r="27">
      <c r="A27" t="inlineStr">
        <is>
          <t>M</t>
        </is>
      </c>
      <c r="B27" t="inlineStr">
        <is>
          <t>Average Schmidt factor for tensile loading</t>
        </is>
      </c>
      <c r="C27" t="inlineStr">
        <is>
          <t>–</t>
        </is>
      </c>
      <c r="D27" t="n">
        <v>2</v>
      </c>
      <c r="E27" t="inlineStr">
        <is>
          <t>Schmidt factor</t>
        </is>
      </c>
    </row>
    <row r="28">
      <c r="A28" t="inlineStr">
        <is>
          <t>mu</t>
        </is>
      </c>
      <c r="B28" t="inlineStr">
        <is>
          <t>shear modulus</t>
        </is>
      </c>
      <c r="C28" t="inlineStr">
        <is>
          <t>Pa</t>
        </is>
      </c>
      <c r="D28" s="2" t="n">
        <v>30000000000</v>
      </c>
      <c r="E28" t="inlineStr">
        <is>
          <t>shear modulus</t>
        </is>
      </c>
      <c r="F28" s="2" t="n"/>
    </row>
    <row r="29">
      <c r="A29" t="inlineStr">
        <is>
          <t>nu_poisson</t>
        </is>
      </c>
      <c r="B29" t="inlineStr">
        <is>
          <t>Poisson ratio</t>
        </is>
      </c>
      <c r="C29" t="inlineStr">
        <is>
          <t>–</t>
        </is>
      </c>
      <c r="D29" s="2" t="n">
        <v>0.34</v>
      </c>
      <c r="E29" t="inlineStr">
        <is>
          <t>Poisson ratio</t>
        </is>
      </c>
      <c r="F29" s="2" t="n"/>
    </row>
    <row r="32">
      <c r="A32" t="inlineStr">
        <is>
          <t>D_i_0</t>
        </is>
      </c>
      <c r="B32" t="inlineStr">
        <is>
          <t>interstitial diffusion pre-factor</t>
        </is>
      </c>
      <c r="C32" t="inlineStr">
        <is>
          <t>m^2/s</t>
        </is>
      </c>
      <c r="D32" s="2" t="n">
        <v>8.1882e-10</v>
      </c>
    </row>
    <row r="33">
      <c r="A33" t="inlineStr">
        <is>
          <t>D_v_0</t>
        </is>
      </c>
      <c r="B33" t="inlineStr">
        <is>
          <t>vacancy diffusion prefactor</t>
        </is>
      </c>
      <c r="C33" t="inlineStr">
        <is>
          <t>m^2/s</t>
        </is>
      </c>
      <c r="D33" s="2" t="n">
        <v>4.9639e-13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="140" zoomScaleNormal="200" workbookViewId="0">
      <selection activeCell="A1" sqref="A1:XFD32"/>
    </sheetView>
  </sheetViews>
  <sheetFormatPr baseColWidth="10" defaultColWidth="8.83203125" defaultRowHeight="15"/>
  <cols>
    <col width="11" customWidth="1" min="1" max="1"/>
    <col width="50" customWidth="1" min="2" max="2"/>
    <col width="7" customWidth="1" min="3" max="3"/>
    <col width="11.33203125" customWidth="1" style="4" min="4" max="4"/>
    <col width="50" customWidth="1" min="5" max="5"/>
  </cols>
  <sheetData>
    <row r="1">
      <c r="A1" s="1" t="inlineStr">
        <is>
          <t>Notation</t>
        </is>
      </c>
      <c r="B1" s="1" t="inlineStr">
        <is>
          <t>Parameter</t>
        </is>
      </c>
      <c r="C1" s="1" t="inlineStr">
        <is>
          <t>Units</t>
        </is>
      </c>
      <c r="D1" s="3" t="inlineStr">
        <is>
          <t>Value</t>
        </is>
      </c>
      <c r="E1" s="1" t="inlineStr">
        <is>
          <t>Description</t>
        </is>
      </c>
    </row>
    <row r="2">
      <c r="A2" t="inlineStr">
        <is>
          <t>Z_N</t>
        </is>
      </c>
      <c r="B2" t="inlineStr">
        <is>
          <t>Network dislocation bias factor for interstitials</t>
        </is>
      </c>
      <c r="C2" t="inlineStr">
        <is>
          <t>–</t>
        </is>
      </c>
      <c r="D2" s="4" t="n">
        <v>1.1</v>
      </c>
      <c r="E2" t="inlineStr">
        <is>
          <t>Dislocation bias for interstitial absorption</t>
        </is>
      </c>
    </row>
    <row r="3">
      <c r="A3" t="inlineStr">
        <is>
          <t>Z_iL</t>
        </is>
      </c>
      <c r="B3" t="inlineStr">
        <is>
          <t>Interstitial dislocation loop bias factor for interstitials</t>
        </is>
      </c>
      <c r="C3" t="inlineStr">
        <is>
          <t>–</t>
        </is>
      </c>
      <c r="D3" s="4" t="n">
        <v>1.3</v>
      </c>
      <c r="E3" t="inlineStr">
        <is>
          <t>Interstitial loop bias for interstitial absorption</t>
        </is>
      </c>
    </row>
    <row r="4">
      <c r="A4" t="inlineStr">
        <is>
          <t>Z_vL</t>
        </is>
      </c>
      <c r="B4" t="inlineStr">
        <is>
          <t>Vacancy loop bias factor for interstitials</t>
        </is>
      </c>
      <c r="C4" t="inlineStr">
        <is>
          <t>–</t>
        </is>
      </c>
      <c r="D4" s="4" t="n">
        <v>1</v>
      </c>
      <c r="E4" t="inlineStr">
        <is>
          <t>Vacancy loop bias for interstitial absorption</t>
        </is>
      </c>
    </row>
    <row r="5">
      <c r="A5" t="inlineStr">
        <is>
          <t>Q</t>
        </is>
      </c>
      <c r="B5" t="inlineStr">
        <is>
          <t>Absorption efficiency for &lt;c&gt; loops</t>
        </is>
      </c>
      <c r="C5" t="inlineStr">
        <is>
          <t>–</t>
        </is>
      </c>
      <c r="D5" s="4" t="n">
        <v>1</v>
      </c>
      <c r="E5" t="inlineStr">
        <is>
          <t>Loop growth efficiency factor</t>
        </is>
      </c>
    </row>
    <row r="6">
      <c r="A6" t="inlineStr">
        <is>
          <t>A_a</t>
        </is>
      </c>
      <c r="B6" t="inlineStr">
        <is>
          <t>Strain factor in &lt;a&gt; direction</t>
        </is>
      </c>
      <c r="C6" t="inlineStr">
        <is>
          <t>–</t>
        </is>
      </c>
      <c r="D6" s="4" t="n">
        <v>1</v>
      </c>
      <c r="E6" t="inlineStr">
        <is>
          <t>Strain tensor component a-direction</t>
        </is>
      </c>
    </row>
    <row r="7">
      <c r="A7" t="inlineStr">
        <is>
          <t>A_c</t>
        </is>
      </c>
      <c r="B7" t="inlineStr">
        <is>
          <t>Strain factor in &lt;c&gt; direction</t>
        </is>
      </c>
      <c r="C7" t="inlineStr">
        <is>
          <t>–</t>
        </is>
      </c>
      <c r="D7" s="4" t="n">
        <v>1</v>
      </c>
      <c r="E7" t="inlineStr">
        <is>
          <t>Strain tensor component c-direction</t>
        </is>
      </c>
    </row>
    <row r="8" customFormat="1" s="5">
      <c r="D8" s="6" t="n"/>
    </row>
    <row r="9">
      <c r="A9" t="inlineStr">
        <is>
          <t>tau_vL</t>
        </is>
      </c>
      <c r="B9" t="inlineStr">
        <is>
          <t>lifetime of a vacancy loop due to thermal annealing</t>
        </is>
      </c>
      <c r="C9" t="inlineStr">
        <is>
          <t>s</t>
        </is>
      </c>
      <c r="D9" s="4" t="n">
        <v>1000</v>
      </c>
      <c r="E9" t="inlineStr">
        <is>
          <t>Vacancy loop thermal stability time</t>
        </is>
      </c>
    </row>
    <row r="10">
      <c r="A10" t="inlineStr">
        <is>
          <t>tau_avL</t>
        </is>
      </c>
      <c r="B10" t="inlineStr">
        <is>
          <t>lifetime of aligned vacancy loop due to thermal annealing</t>
        </is>
      </c>
      <c r="C10" t="inlineStr">
        <is>
          <t>s</t>
        </is>
      </c>
      <c r="D10" s="4" t="n">
        <v>500</v>
      </c>
      <c r="E10" t="inlineStr">
        <is>
          <t>Aligned vacancy loop thermal stability time</t>
        </is>
      </c>
    </row>
    <row r="11">
      <c r="A11" t="inlineStr">
        <is>
          <t>r_cap_vL</t>
        </is>
      </c>
      <c r="B11" t="inlineStr">
        <is>
          <t>Capture radius around vacancy loop</t>
        </is>
      </c>
      <c r="C11" t="inlineStr">
        <is>
          <t>m</t>
        </is>
      </c>
      <c r="D11" s="4" t="n">
        <v>2.5e-08</v>
      </c>
      <c r="E11" t="inlineStr">
        <is>
          <t>capture radius around vacancy loop</t>
        </is>
      </c>
    </row>
    <row r="12" customFormat="1" s="5">
      <c r="D12" s="6" t="n"/>
    </row>
    <row r="13">
      <c r="A13" t="inlineStr">
        <is>
          <t>alpha_i</t>
        </is>
      </c>
      <c r="B13" t="inlineStr">
        <is>
          <t>Strength coefficient for a small interstitial cluster</t>
        </is>
      </c>
      <c r="C13" t="inlineStr">
        <is>
          <t>–</t>
        </is>
      </c>
      <c r="D13" s="4" t="n">
        <v>0.15</v>
      </c>
      <c r="E13" t="inlineStr">
        <is>
          <t>Interstitial obstacle strength</t>
        </is>
      </c>
    </row>
    <row r="14">
      <c r="A14" t="inlineStr">
        <is>
          <t>alpha_v</t>
        </is>
      </c>
      <c r="B14" t="inlineStr">
        <is>
          <t>Strength coefficient for a small vacancy cluster</t>
        </is>
      </c>
      <c r="C14" t="inlineStr">
        <is>
          <t>–</t>
        </is>
      </c>
      <c r="D14" s="4" t="n">
        <v>0.1</v>
      </c>
      <c r="E14" t="inlineStr">
        <is>
          <t>Vacancy obstacle strength</t>
        </is>
      </c>
    </row>
    <row r="15">
      <c r="A15" t="inlineStr">
        <is>
          <t>alpha_iL</t>
        </is>
      </c>
      <c r="B15" t="inlineStr">
        <is>
          <t>Average strength coefficient for an interstitial loop</t>
        </is>
      </c>
      <c r="C15" t="inlineStr">
        <is>
          <t>–</t>
        </is>
      </c>
      <c r="D15" s="4" t="n">
        <v>0.25</v>
      </c>
      <c r="E15" t="inlineStr">
        <is>
          <t>Interstitial loop obstacle strength</t>
        </is>
      </c>
    </row>
    <row r="16">
      <c r="A16" t="inlineStr">
        <is>
          <t>alpha_aiL</t>
        </is>
      </c>
      <c r="B16" t="inlineStr">
        <is>
          <t>Average strength coefficient for an aligned interstitial loop</t>
        </is>
      </c>
      <c r="C16" t="inlineStr">
        <is>
          <t>–</t>
        </is>
      </c>
      <c r="D16" s="4" t="n">
        <v>0.3</v>
      </c>
      <c r="E16" t="inlineStr">
        <is>
          <t>Aligned interstitial loop obstacle strength</t>
        </is>
      </c>
    </row>
    <row r="17">
      <c r="A17" t="inlineStr">
        <is>
          <t>alpha_vL</t>
        </is>
      </c>
      <c r="B17" t="inlineStr">
        <is>
          <t>Average strength coefficient for a vacancy loop</t>
        </is>
      </c>
      <c r="C17" t="inlineStr">
        <is>
          <t>–</t>
        </is>
      </c>
      <c r="D17" s="4" t="n">
        <v>0.2</v>
      </c>
      <c r="E17" t="inlineStr">
        <is>
          <t>Vacancy loop obstacle strength</t>
        </is>
      </c>
    </row>
    <row r="18">
      <c r="A18" t="inlineStr">
        <is>
          <t>alpha_avL</t>
        </is>
      </c>
      <c r="B18" t="inlineStr">
        <is>
          <t>Average strength coefficient for an aligned vacancy loop</t>
        </is>
      </c>
      <c r="C18" t="inlineStr">
        <is>
          <t>–</t>
        </is>
      </c>
      <c r="D18" s="4" t="n">
        <v>0.25</v>
      </c>
      <c r="E18" t="inlineStr">
        <is>
          <t>Aligned vacancy loop obstacle strength</t>
        </is>
      </c>
    </row>
    <row r="19">
      <c r="A19" t="inlineStr">
        <is>
          <t>alpha_N</t>
        </is>
      </c>
      <c r="B19" t="inlineStr">
        <is>
          <t>Average strength coefficient for network dislocations</t>
        </is>
      </c>
      <c r="C19" t="inlineStr">
        <is>
          <t>–</t>
        </is>
      </c>
      <c r="D19" s="4" t="n">
        <v>0.3</v>
      </c>
      <c r="E19" t="inlineStr">
        <is>
          <t>Network dislocation obstacle strength</t>
        </is>
      </c>
    </row>
    <row r="20" customFormat="1" s="5">
      <c r="D20" s="6" t="n"/>
    </row>
    <row r="21">
      <c r="A21" t="inlineStr">
        <is>
          <t>m</t>
        </is>
      </c>
      <c r="B21" t="inlineStr">
        <is>
          <t>Increment in mobile dislocation line length per forest dislocation</t>
        </is>
      </c>
      <c r="C21" t="inlineStr">
        <is>
          <t>–</t>
        </is>
      </c>
      <c r="D21" s="4" t="n">
        <v>100</v>
      </c>
      <c r="E21" t="inlineStr">
        <is>
          <t>Dislocation multiplication factor</t>
        </is>
      </c>
    </row>
    <row r="22">
      <c r="A22" t="inlineStr">
        <is>
          <t>s</t>
        </is>
      </c>
      <c r="B22" t="inlineStr">
        <is>
          <t>conversion rate of mobile to forest dislocations</t>
        </is>
      </c>
      <c r="C22" t="inlineStr">
        <is>
          <t>–</t>
        </is>
      </c>
      <c r="D22" s="4" t="n">
        <v>0.001</v>
      </c>
      <c r="E22" t="inlineStr">
        <is>
          <t>Dislocation immobilization rate</t>
        </is>
      </c>
    </row>
    <row r="23">
      <c r="A23" t="inlineStr">
        <is>
          <t>r_m</t>
        </is>
      </c>
      <c r="B23" t="inlineStr">
        <is>
          <t>recovery rate of mobile dislocations by cross-slip</t>
        </is>
      </c>
      <c r="C23" t="inlineStr">
        <is>
          <t>–</t>
        </is>
      </c>
      <c r="D23" s="4" t="n">
        <v>1e-06</v>
      </c>
      <c r="E23" t="inlineStr">
        <is>
          <t>Mobile dislocation recovery rate</t>
        </is>
      </c>
    </row>
    <row r="24">
      <c r="A24" t="inlineStr">
        <is>
          <t>r_f</t>
        </is>
      </c>
      <c r="B24" t="inlineStr">
        <is>
          <t>recovery rate of forest dislocations by cross-slip</t>
        </is>
      </c>
      <c r="C24" t="inlineStr">
        <is>
          <t>–</t>
        </is>
      </c>
      <c r="D24" s="4" t="n">
        <v>1e-07</v>
      </c>
      <c r="E24" t="inlineStr">
        <is>
          <t>Forest dislocation recovery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7"/>
  <sheetViews>
    <sheetView zoomScale="140" zoomScaleNormal="140" workbookViewId="0">
      <selection activeCell="C18" sqref="C18"/>
    </sheetView>
  </sheetViews>
  <sheetFormatPr baseColWidth="10" defaultColWidth="8.83203125" defaultRowHeight="15"/>
  <cols>
    <col width="12.83203125" customWidth="1" style="9" min="1" max="1"/>
    <col width="8.83203125" customWidth="1" style="9" min="2" max="2"/>
    <col width="10.6640625" customWidth="1" style="9" min="3" max="3"/>
    <col width="11.33203125" bestFit="1" customWidth="1" style="9" min="4" max="4"/>
    <col width="12.33203125" customWidth="1" style="9" min="5" max="5"/>
    <col width="8.6640625" customWidth="1" style="9" min="6" max="6"/>
    <col width="29.33203125" customWidth="1" style="9" min="7" max="7"/>
    <col width="11.33203125" bestFit="1" customWidth="1" style="9" min="8" max="8"/>
    <col width="8.6640625" customWidth="1" style="9" min="9" max="9"/>
    <col width="11.33203125" customWidth="1" min="19" max="19"/>
  </cols>
  <sheetData>
    <row r="1" ht="32" customHeight="1">
      <c r="A1" s="9" t="inlineStr">
        <is>
          <t>Temperature ($^\circ$C)</t>
        </is>
      </c>
      <c r="B1" s="9" t="inlineStr">
        <is>
          <t>Temperature (K)</t>
        </is>
      </c>
      <c r="C1" s="9" t="inlineStr">
        <is>
          <t>Fluence (m$^{-2}$)</t>
        </is>
      </c>
      <c r="D1" s="9" t="inlineStr">
        <is>
          <t>Dose (dpa)</t>
        </is>
      </c>
      <c r="E1" s="9" t="inlineStr">
        <is>
          <t>Loop density ($^{-3}$)</t>
        </is>
      </c>
      <c r="F1" s="9" t="inlineStr">
        <is>
          <t>Loop Size (nm)</t>
        </is>
      </c>
      <c r="G1" s="9" t="inlineStr">
        <is>
          <t>Reference</t>
        </is>
      </c>
    </row>
    <row r="2" ht="16" customHeight="1">
      <c r="A2" s="9" t="inlineStr">
        <is>
          <t>Neutrons</t>
        </is>
      </c>
    </row>
    <row r="3">
      <c r="A3" s="9" t="n">
        <v>300</v>
      </c>
      <c r="B3" s="9">
        <f>A3+273</f>
        <v/>
      </c>
      <c r="C3" s="10" t="n">
        <v>5e+23</v>
      </c>
      <c r="D3" s="10">
        <f>C3/$L$6</f>
        <v/>
      </c>
      <c r="E3" s="10" t="n">
        <v>1e+22</v>
      </c>
      <c r="F3" s="9" t="n">
        <v>4.5</v>
      </c>
      <c r="G3" t="inlineStr">
        <is>
          <t>Northwood, D. O. Atomic Energy</t>
        </is>
      </c>
    </row>
    <row r="4">
      <c r="C4" s="10" t="n">
        <v>7.999999999999999e+23</v>
      </c>
      <c r="D4" s="10">
        <f>C4/$L$6</f>
        <v/>
      </c>
      <c r="E4" s="10" t="n">
        <v>2.5e+22</v>
      </c>
      <c r="F4" s="9" t="n">
        <v>5.8</v>
      </c>
      <c r="G4" t="inlineStr">
        <is>
          <t>Rev. 1977, 15, 547–610.</t>
        </is>
      </c>
      <c r="Y4" s="2" t="n"/>
    </row>
    <row r="5">
      <c r="C5" s="10" t="n">
        <v>1.5e+24</v>
      </c>
      <c r="D5" s="10">
        <f>C5/$L$6</f>
        <v/>
      </c>
      <c r="E5" s="10" t="n">
        <v>3.6e+22</v>
      </c>
      <c r="F5" s="9" t="n">
        <v>7</v>
      </c>
    </row>
    <row r="6">
      <c r="C6" s="10" t="n">
        <v>2e+24</v>
      </c>
      <c r="D6" s="10">
        <f>C6/$L$6</f>
        <v/>
      </c>
      <c r="E6" s="10" t="n">
        <v>3e+22</v>
      </c>
      <c r="F6" s="9" t="n">
        <v>6.4</v>
      </c>
      <c r="L6" s="2" t="n">
        <v>6e+24</v>
      </c>
      <c r="M6" t="inlineStr">
        <is>
          <t>n&gt;&gt; dpa</t>
        </is>
      </c>
    </row>
    <row r="7">
      <c r="C7" s="10" t="n">
        <v>4e+22</v>
      </c>
      <c r="D7" s="10">
        <f>C7/$L$6</f>
        <v/>
      </c>
      <c r="E7" s="10" t="n">
        <v>2.8e+22</v>
      </c>
      <c r="F7" s="9" t="n">
        <v>6.6</v>
      </c>
    </row>
    <row r="8">
      <c r="C8" s="10" t="n">
        <v>9e+22</v>
      </c>
      <c r="D8" s="10">
        <f>C8/$L$6</f>
        <v/>
      </c>
      <c r="E8" s="10" t="n">
        <v>3e+22</v>
      </c>
      <c r="F8" s="9" t="n">
        <v>6.8</v>
      </c>
    </row>
    <row r="9">
      <c r="C9" s="10" t="n">
        <v>2e+23</v>
      </c>
      <c r="D9" s="10">
        <f>C9/$L$6</f>
        <v/>
      </c>
      <c r="E9" s="10" t="n">
        <v>2.7e+22</v>
      </c>
      <c r="F9" s="9" t="n">
        <v>7.2</v>
      </c>
    </row>
    <row r="10">
      <c r="C10" s="10" t="n">
        <v>7.999999999999999e+23</v>
      </c>
      <c r="D10" s="10">
        <f>C10/$L$6</f>
        <v/>
      </c>
      <c r="E10" s="10" t="n">
        <v>2.5e+22</v>
      </c>
      <c r="F10" s="9" t="n">
        <v>7</v>
      </c>
    </row>
    <row r="11">
      <c r="C11" s="10" t="n">
        <v>1e+24</v>
      </c>
      <c r="D11" s="10">
        <f>C11/$L$6</f>
        <v/>
      </c>
      <c r="E11" s="10" t="n">
        <v>2.2e+22</v>
      </c>
      <c r="F11" s="9" t="n">
        <v>7.5</v>
      </c>
      <c r="R11" s="2" t="n"/>
    </row>
    <row r="13">
      <c r="A13" s="9" t="n">
        <v>350</v>
      </c>
      <c r="B13" s="9">
        <f>A13+273</f>
        <v/>
      </c>
      <c r="C13" s="10" t="n">
        <v>1e+25</v>
      </c>
      <c r="D13" s="10">
        <f>C13/$L$6</f>
        <v/>
      </c>
      <c r="E13" s="10" t="n">
        <v>3e+22</v>
      </c>
      <c r="F13" s="9" t="n">
        <v>10</v>
      </c>
    </row>
    <row r="14">
      <c r="A14" s="9" t="n">
        <v>400</v>
      </c>
      <c r="B14" s="9">
        <f>A14+273</f>
        <v/>
      </c>
      <c r="C14" s="10" t="n">
        <v>1e+25</v>
      </c>
      <c r="D14" s="9">
        <f>C14/$L$6</f>
        <v/>
      </c>
      <c r="E14" s="10" t="n">
        <v>1e+22</v>
      </c>
      <c r="F14" s="9" t="n">
        <v>22</v>
      </c>
    </row>
    <row r="17">
      <c r="G17" s="10" t="n"/>
    </row>
    <row r="18">
      <c r="G18" s="10" t="n"/>
    </row>
    <row r="19">
      <c r="G19" s="10" t="n"/>
    </row>
    <row r="20">
      <c r="G20" s="10" t="n"/>
    </row>
    <row r="21">
      <c r="G21" s="10" t="n"/>
    </row>
    <row r="22">
      <c r="G22" s="10" t="n"/>
    </row>
    <row r="24">
      <c r="D24" s="10" t="n"/>
      <c r="G24" s="10" t="n"/>
    </row>
    <row r="25">
      <c r="D25" s="10" t="n"/>
      <c r="G25" s="10" t="n"/>
    </row>
    <row r="26">
      <c r="D26" s="10" t="n"/>
      <c r="G26" s="10" t="n"/>
    </row>
    <row r="27">
      <c r="D27" s="10" t="n"/>
    </row>
    <row r="28">
      <c r="D28" s="10" t="n"/>
    </row>
    <row r="35">
      <c r="Q35" s="9" t="n"/>
      <c r="R35" s="9" t="n"/>
      <c r="S35" s="9" t="n"/>
    </row>
    <row r="36">
      <c r="Q36" s="9" t="n"/>
      <c r="R36" s="9" t="n"/>
      <c r="S36" s="9" t="n"/>
    </row>
    <row r="37">
      <c r="Q37" s="9" t="n"/>
      <c r="R37" s="9" t="n"/>
      <c r="S37" s="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topLeftCell="A43" zoomScale="80" zoomScaleNormal="80" workbookViewId="0">
      <selection activeCell="A74" sqref="A74"/>
    </sheetView>
  </sheetViews>
  <sheetFormatPr baseColWidth="10" defaultRowHeight="15"/>
  <cols>
    <col width="21.33203125" customWidth="1" style="38" min="1" max="1"/>
    <col width="12.83203125" customWidth="1" style="38" min="2" max="2"/>
    <col width="24" customWidth="1" style="38" min="3" max="3"/>
    <col width="19" customWidth="1" style="38" min="4" max="4"/>
    <col width="36" customWidth="1" min="5" max="5"/>
  </cols>
  <sheetData>
    <row r="1" ht="16" customHeight="1">
      <c r="A1" s="102" t="inlineStr">
        <is>
          <t>Temp. (K)</t>
        </is>
      </c>
      <c r="B1" s="35" t="inlineStr">
        <is>
          <t>Dose (dpa)</t>
        </is>
      </c>
      <c r="C1" s="35" t="inlineStr">
        <is>
          <t>Number Density (m^-3)</t>
        </is>
      </c>
      <c r="D1" s="35" t="inlineStr">
        <is>
          <t>Mean Size (nm)</t>
        </is>
      </c>
      <c r="E1" s="36" t="inlineStr">
        <is>
          <t>Source</t>
        </is>
      </c>
    </row>
    <row r="2" ht="16" customHeight="1">
      <c r="A2" s="95" t="n">
        <v>473</v>
      </c>
      <c r="B2" s="62" t="n">
        <v>0.1333333333333333</v>
      </c>
      <c r="C2" s="27" t="n">
        <v>2.15e+22</v>
      </c>
      <c r="D2" s="26" t="n">
        <v>8.1</v>
      </c>
      <c r="E2" s="32" t="inlineStr">
        <is>
          <t>Northwood et al., 1977</t>
        </is>
      </c>
    </row>
    <row r="3" ht="16" customHeight="1">
      <c r="A3" s="103" t="n">
        <v>478</v>
      </c>
      <c r="B3" s="104" t="n">
        <v>2</v>
      </c>
      <c r="C3" s="74" t="n">
        <v>6e+22</v>
      </c>
      <c r="D3" s="84" t="n"/>
      <c r="E3" s="32" t="inlineStr">
        <is>
          <t>Gilbert et al., 1979</t>
        </is>
      </c>
    </row>
    <row r="4" ht="16" customHeight="1">
      <c r="A4" s="95" t="n">
        <v>500</v>
      </c>
      <c r="B4" s="62" t="n">
        <v>0.3</v>
      </c>
      <c r="C4" s="27" t="n">
        <v>1.8e+22</v>
      </c>
      <c r="D4" s="26" t="n">
        <v>17.5</v>
      </c>
      <c r="E4" s="32" t="inlineStr">
        <is>
          <t>Northwood et al., 1976</t>
        </is>
      </c>
    </row>
    <row r="5" ht="16" customHeight="1">
      <c r="A5" s="95" t="n">
        <v>523</v>
      </c>
      <c r="B5" s="62" t="n">
        <v>0.52</v>
      </c>
      <c r="C5" s="27" t="n">
        <v>3.4e+22</v>
      </c>
      <c r="D5" s="26" t="n">
        <v>8.5</v>
      </c>
      <c r="E5" s="32" t="inlineStr">
        <is>
          <t>Northwood et al., 1979</t>
        </is>
      </c>
    </row>
    <row r="6" ht="16" customHeight="1">
      <c r="A6" s="103" t="n">
        <v>523</v>
      </c>
      <c r="B6" s="104" t="n">
        <v>2</v>
      </c>
      <c r="C6" s="74" t="n">
        <v>3.2e+22</v>
      </c>
      <c r="D6" s="84" t="n"/>
      <c r="E6" s="32" t="inlineStr">
        <is>
          <t>Gilbert et al., 1979</t>
        </is>
      </c>
    </row>
    <row r="7">
      <c r="A7" s="103">
        <f>250+273</f>
        <v/>
      </c>
      <c r="B7" s="100" t="n">
        <v>0.5166666666666667</v>
      </c>
      <c r="C7" s="74" t="n">
        <v>2e+22</v>
      </c>
      <c r="D7" s="84" t="n">
        <v>6</v>
      </c>
      <c r="E7" s="89" t="inlineStr">
        <is>
          <t>Northwood et al., 1979</t>
        </is>
      </c>
    </row>
    <row r="8">
      <c r="A8" s="103">
        <f>250+273</f>
        <v/>
      </c>
      <c r="B8" s="100" t="n">
        <v>0.5166666666666667</v>
      </c>
      <c r="C8" s="74" t="n">
        <v>5e+22</v>
      </c>
      <c r="D8" s="84" t="n">
        <v>6.6</v>
      </c>
      <c r="E8" s="89" t="inlineStr">
        <is>
          <t>Northwood et al., 1979</t>
        </is>
      </c>
    </row>
    <row r="9">
      <c r="A9" s="103">
        <f>250+273</f>
        <v/>
      </c>
      <c r="B9" s="100" t="n">
        <v>0.5166666666666667</v>
      </c>
      <c r="C9" s="74" t="n">
        <v>3.2e+22</v>
      </c>
      <c r="D9" s="84" t="n">
        <v>10.2</v>
      </c>
      <c r="E9" s="89" t="inlineStr">
        <is>
          <t>Northwood et al., 1979</t>
        </is>
      </c>
    </row>
    <row r="10">
      <c r="A10" s="103">
        <f>250+273</f>
        <v/>
      </c>
      <c r="B10" s="100" t="n">
        <v>0.5166666666666667</v>
      </c>
      <c r="C10" s="74" t="n">
        <v>1.3e+22</v>
      </c>
      <c r="D10" s="84" t="n">
        <v>11.6</v>
      </c>
      <c r="E10" s="89" t="inlineStr">
        <is>
          <t>Northwood et al., 1979</t>
        </is>
      </c>
    </row>
    <row r="11" ht="16" customHeight="1">
      <c r="A11" s="95" t="n">
        <v>573</v>
      </c>
      <c r="B11" s="26" t="n">
        <v>15.8</v>
      </c>
      <c r="C11" s="27" t="n">
        <v>1.5e+22</v>
      </c>
      <c r="D11" s="26" t="n">
        <v>4</v>
      </c>
      <c r="E11" s="32" t="inlineStr">
        <is>
          <t>Harte et al., 2017</t>
        </is>
      </c>
    </row>
    <row r="12" ht="16" customHeight="1">
      <c r="A12" s="95" t="n">
        <v>573</v>
      </c>
      <c r="B12" s="26" t="n">
        <v>24.5</v>
      </c>
      <c r="C12" s="27" t="n">
        <v>1.8e+22</v>
      </c>
      <c r="D12" s="26" t="n">
        <v>4</v>
      </c>
      <c r="E12" s="32" t="inlineStr">
        <is>
          <t>Harte et al., 2017</t>
        </is>
      </c>
    </row>
    <row r="13">
      <c r="A13" s="103" t="n">
        <v>573</v>
      </c>
      <c r="B13" s="79" t="n">
        <v>0.08333333333333333</v>
      </c>
      <c r="C13" s="74" t="n">
        <v>1e+22</v>
      </c>
      <c r="D13" s="84" t="n">
        <v>4.5</v>
      </c>
      <c r="E13" s="89" t="inlineStr">
        <is>
          <t>Northwood et al., 1977</t>
        </is>
      </c>
    </row>
    <row r="14" ht="16" customHeight="1">
      <c r="A14" s="95" t="n">
        <v>573</v>
      </c>
      <c r="B14" s="62" t="n">
        <v>0.125</v>
      </c>
      <c r="C14" s="27" t="n">
        <v>2.1e+22</v>
      </c>
      <c r="D14" s="26" t="n">
        <v>5.8</v>
      </c>
      <c r="E14" s="32" t="inlineStr">
        <is>
          <t>Northwood et al., 1977</t>
        </is>
      </c>
    </row>
    <row r="15">
      <c r="A15" s="103" t="n">
        <v>573</v>
      </c>
      <c r="B15" s="79" t="n">
        <v>0.1333333333333333</v>
      </c>
      <c r="C15" s="74" t="n">
        <v>2.5e+22</v>
      </c>
      <c r="D15" s="84" t="n">
        <v>5.8</v>
      </c>
      <c r="E15" s="89" t="inlineStr">
        <is>
          <t>Northwood et al., 1977</t>
        </is>
      </c>
    </row>
    <row r="16">
      <c r="A16" s="103" t="n">
        <v>573</v>
      </c>
      <c r="B16" s="79" t="n">
        <v>0.3333333333333333</v>
      </c>
      <c r="C16" s="74" t="n">
        <v>3e+22</v>
      </c>
      <c r="D16" s="84" t="n">
        <v>6.4</v>
      </c>
      <c r="E16" s="89" t="inlineStr">
        <is>
          <t>Northwood et al., 1977</t>
        </is>
      </c>
    </row>
    <row r="17" ht="16" customHeight="1">
      <c r="A17" s="95" t="n">
        <v>573</v>
      </c>
      <c r="B17" s="25" t="n">
        <v>2.166666666666667</v>
      </c>
      <c r="C17" s="27" t="n">
        <v>1.9e+22</v>
      </c>
      <c r="D17" s="26" t="n">
        <v>6.5</v>
      </c>
      <c r="E17" s="32" t="inlineStr">
        <is>
          <t>Gilbert et al., 1979</t>
        </is>
      </c>
    </row>
    <row r="18">
      <c r="A18" s="103" t="n">
        <v>573</v>
      </c>
      <c r="B18" s="79" t="n">
        <v>0.006666666666666667</v>
      </c>
      <c r="C18" s="74" t="n">
        <v>2.8e+22</v>
      </c>
      <c r="D18" s="84" t="n">
        <v>6.6</v>
      </c>
      <c r="E18" s="89" t="inlineStr">
        <is>
          <t>Northwood et al., 1977</t>
        </is>
      </c>
    </row>
    <row r="19" ht="16" customHeight="1">
      <c r="A19" s="95" t="n">
        <v>573</v>
      </c>
      <c r="B19" s="62" t="n">
        <v>0.5</v>
      </c>
      <c r="C19" s="27" t="n">
        <v>2.8e+22</v>
      </c>
      <c r="D19" s="26" t="n">
        <v>6.8</v>
      </c>
      <c r="E19" s="32" t="inlineStr">
        <is>
          <t>Northwood et al., 1977</t>
        </is>
      </c>
    </row>
    <row r="20">
      <c r="A20" s="103" t="n">
        <v>573</v>
      </c>
      <c r="B20" s="79" t="n">
        <v>0.015</v>
      </c>
      <c r="C20" s="74" t="n">
        <v>3e+22</v>
      </c>
      <c r="D20" s="84" t="n">
        <v>6.8</v>
      </c>
      <c r="E20" s="89" t="inlineStr">
        <is>
          <t>Northwood et al., 1977</t>
        </is>
      </c>
    </row>
    <row r="21" ht="16" customHeight="1">
      <c r="A21" s="103" t="n">
        <v>573</v>
      </c>
      <c r="B21" s="25" t="n">
        <v>2.166666666666667</v>
      </c>
      <c r="C21" s="69" t="n"/>
      <c r="D21" s="84" t="n">
        <v>7</v>
      </c>
      <c r="E21" s="32" t="inlineStr">
        <is>
          <t>Gilbert et al., 1979</t>
        </is>
      </c>
    </row>
    <row r="22" ht="16" customHeight="1">
      <c r="A22" s="95" t="n">
        <v>573</v>
      </c>
      <c r="B22" s="62" t="n">
        <v>0.6666666666666666</v>
      </c>
      <c r="C22" s="27" t="n">
        <v>3.7e+22</v>
      </c>
      <c r="D22" s="26" t="n">
        <v>7</v>
      </c>
      <c r="E22" s="32" t="inlineStr">
        <is>
          <t>Northwood et al., 1977</t>
        </is>
      </c>
    </row>
    <row r="23">
      <c r="A23" s="103" t="n">
        <v>573</v>
      </c>
      <c r="B23" s="79" t="n">
        <v>0.25</v>
      </c>
      <c r="C23" s="74" t="n">
        <v>3.6e+22</v>
      </c>
      <c r="D23" s="84" t="n">
        <v>7</v>
      </c>
      <c r="E23" s="89" t="inlineStr">
        <is>
          <t>Northwood et al., 1977</t>
        </is>
      </c>
    </row>
    <row r="24">
      <c r="A24" s="103" t="n">
        <v>573</v>
      </c>
      <c r="B24" s="79" t="n">
        <v>0.1333333333333333</v>
      </c>
      <c r="C24" s="74" t="n">
        <v>2.5e+22</v>
      </c>
      <c r="D24" s="84" t="n">
        <v>7</v>
      </c>
      <c r="E24" s="89" t="inlineStr">
        <is>
          <t>Northwood et al., 1977</t>
        </is>
      </c>
    </row>
    <row r="25">
      <c r="A25" s="103" t="n">
        <v>573</v>
      </c>
      <c r="B25" s="79" t="n">
        <v>0.03333333333333333</v>
      </c>
      <c r="C25" s="74" t="n">
        <v>2.7e+22</v>
      </c>
      <c r="D25" s="84" t="n">
        <v>7.2</v>
      </c>
      <c r="E25" s="89" t="inlineStr">
        <is>
          <t>Northwood et al., 1977</t>
        </is>
      </c>
    </row>
    <row r="26" ht="16" customHeight="1">
      <c r="A26" s="95" t="n">
        <v>573</v>
      </c>
      <c r="B26" s="62" t="n">
        <v>0.5</v>
      </c>
      <c r="C26" s="27" t="n">
        <v>2.8e+22</v>
      </c>
      <c r="D26" s="26" t="n">
        <v>7.5</v>
      </c>
      <c r="E26" s="32" t="inlineStr">
        <is>
          <t>Northwood et al., 1977</t>
        </is>
      </c>
    </row>
    <row r="27">
      <c r="A27" s="103" t="n">
        <v>573</v>
      </c>
      <c r="B27" s="79" t="n">
        <v>0.1666666666666667</v>
      </c>
      <c r="C27" s="74" t="n">
        <v>2.2e+22</v>
      </c>
      <c r="D27" s="84" t="n">
        <v>7.5</v>
      </c>
      <c r="E27" s="89" t="inlineStr">
        <is>
          <t>Northwood et al., 1977</t>
        </is>
      </c>
    </row>
    <row r="28" ht="16" customHeight="1">
      <c r="A28" s="95" t="n">
        <v>573</v>
      </c>
      <c r="B28" s="84" t="n">
        <v>0.06333333333333332</v>
      </c>
      <c r="C28" s="27" t="n">
        <v>1.2e+22</v>
      </c>
      <c r="D28" s="26" t="n">
        <v>9</v>
      </c>
      <c r="E28" s="32" t="inlineStr">
        <is>
          <t>Jostsons et al., 1977</t>
        </is>
      </c>
    </row>
    <row r="29" ht="16" customHeight="1">
      <c r="A29" s="95" t="n">
        <v>573</v>
      </c>
      <c r="B29" s="62" t="n">
        <v>1.5</v>
      </c>
      <c r="C29" s="27" t="n">
        <v>2.8e+22</v>
      </c>
      <c r="D29" s="26" t="n">
        <v>9</v>
      </c>
      <c r="E29" s="32" t="inlineStr">
        <is>
          <t>Northwood et al., 1977</t>
        </is>
      </c>
    </row>
    <row r="30" ht="16" customHeight="1">
      <c r="A30" s="95" t="n">
        <v>573</v>
      </c>
      <c r="B30" s="62" t="n">
        <v>3.333333333333333</v>
      </c>
      <c r="C30" s="27" t="n">
        <v>2.6e+22</v>
      </c>
      <c r="D30" s="26" t="n">
        <v>10</v>
      </c>
      <c r="E30" s="32" t="inlineStr">
        <is>
          <t>Northwood et al., 1977</t>
        </is>
      </c>
    </row>
    <row r="31" ht="16" customHeight="1">
      <c r="A31" s="95" t="n">
        <v>573</v>
      </c>
      <c r="B31" s="62" t="n">
        <v>0.2883333333333333</v>
      </c>
      <c r="C31" s="27" t="n">
        <v>6e+21</v>
      </c>
      <c r="D31" s="26" t="n">
        <v>14.5</v>
      </c>
      <c r="E31" s="32" t="inlineStr">
        <is>
          <t>Northwood et al., 1977</t>
        </is>
      </c>
    </row>
    <row r="32" ht="16" customHeight="1">
      <c r="A32" s="95" t="n">
        <v>573</v>
      </c>
      <c r="B32" s="25" t="n">
        <v>2.166666666666667</v>
      </c>
      <c r="C32" s="27" t="n">
        <v>5e+21</v>
      </c>
      <c r="D32" s="26" t="n">
        <v>18.6</v>
      </c>
      <c r="E32" s="32" t="inlineStr">
        <is>
          <t>Gilbert et al., 1979</t>
        </is>
      </c>
    </row>
    <row r="33" ht="16" customHeight="1">
      <c r="A33" s="95" t="n">
        <v>573</v>
      </c>
      <c r="B33" s="62" t="n">
        <v>1.833333333333333</v>
      </c>
      <c r="C33" s="27" t="n">
        <v>5e+21</v>
      </c>
      <c r="D33" s="26" t="n">
        <v>18.6</v>
      </c>
      <c r="E33" s="32" t="inlineStr">
        <is>
          <t>Northwood et al., 1977</t>
        </is>
      </c>
    </row>
    <row r="34" ht="16" customHeight="1">
      <c r="A34" s="103" t="n">
        <v>573</v>
      </c>
      <c r="B34" s="104" t="n">
        <v>2</v>
      </c>
      <c r="C34" s="74" t="n">
        <v>1.8e+22</v>
      </c>
      <c r="D34" s="84" t="n"/>
      <c r="E34" s="32" t="inlineStr">
        <is>
          <t>Gilbert et al., 1979</t>
        </is>
      </c>
    </row>
    <row r="35" ht="16" customHeight="1">
      <c r="A35" s="103" t="n">
        <v>573</v>
      </c>
      <c r="B35" s="84" t="n">
        <v>0.2</v>
      </c>
      <c r="C35" s="74" t="n">
        <v>1.2e+22</v>
      </c>
      <c r="D35" s="84" t="n"/>
      <c r="E35" s="32" t="inlineStr">
        <is>
          <t>Gilbert et al., 1979</t>
        </is>
      </c>
    </row>
    <row r="36">
      <c r="A36" s="103" t="n">
        <v>575</v>
      </c>
      <c r="B36" s="100" t="n">
        <v>0.25</v>
      </c>
      <c r="C36" s="74" t="n">
        <v>4.2e+22</v>
      </c>
      <c r="D36" s="84" t="n">
        <v>8</v>
      </c>
      <c r="E36" s="89" t="inlineStr">
        <is>
          <t>Northwood et al., 1974</t>
        </is>
      </c>
    </row>
    <row r="37" ht="16" customHeight="1">
      <c r="A37" s="95" t="n">
        <v>600</v>
      </c>
      <c r="B37" s="26" t="n">
        <v>23</v>
      </c>
      <c r="C37" s="27" t="n">
        <v>8.8e+22</v>
      </c>
      <c r="D37" s="26" t="n">
        <v>6.6</v>
      </c>
      <c r="E37" s="32" t="inlineStr">
        <is>
          <t>Kobylyansky et al., 2008</t>
        </is>
      </c>
    </row>
    <row r="38" ht="16" customHeight="1">
      <c r="A38" s="95" t="n">
        <v>600</v>
      </c>
      <c r="B38" s="26" t="n">
        <v>23</v>
      </c>
      <c r="C38" s="27" t="n">
        <v>7.4e+22</v>
      </c>
      <c r="D38" s="26" t="n">
        <v>7.3</v>
      </c>
      <c r="E38" s="32" t="inlineStr">
        <is>
          <t>Kobylyansky et al., 2008</t>
        </is>
      </c>
    </row>
    <row r="39" ht="16" customHeight="1">
      <c r="A39" s="95" t="n">
        <v>600</v>
      </c>
      <c r="B39" s="26" t="n">
        <v>4.8</v>
      </c>
      <c r="C39" s="27" t="n">
        <v>4.3e+22</v>
      </c>
      <c r="D39" s="26" t="n">
        <v>10</v>
      </c>
      <c r="E39" s="32" t="inlineStr">
        <is>
          <t>Kobylyansky et al., 2008</t>
        </is>
      </c>
    </row>
    <row r="40" ht="16" customHeight="1">
      <c r="A40" s="95" t="n">
        <v>600</v>
      </c>
      <c r="B40" s="26" t="n">
        <v>12</v>
      </c>
      <c r="C40" s="27" t="n">
        <v>4.9e+22</v>
      </c>
      <c r="D40" s="26" t="n">
        <v>10.5</v>
      </c>
      <c r="E40" s="32" t="inlineStr">
        <is>
          <t>Kobylyansky et al., 2008</t>
        </is>
      </c>
    </row>
    <row r="41" ht="16" customHeight="1">
      <c r="A41" s="95" t="n">
        <v>600</v>
      </c>
      <c r="B41" s="26" t="n">
        <v>23</v>
      </c>
      <c r="C41" s="27" t="n">
        <v>5.1e+22</v>
      </c>
      <c r="D41" s="26" t="n">
        <v>10.7</v>
      </c>
      <c r="E41" s="32" t="inlineStr">
        <is>
          <t>Kobylyansky et al., 2008</t>
        </is>
      </c>
    </row>
    <row r="42">
      <c r="A42" s="103">
        <f>342+273</f>
        <v/>
      </c>
      <c r="B42" s="100" t="n">
        <v>1.666666666666667</v>
      </c>
      <c r="C42" s="74" t="n">
        <v>4.8e+22</v>
      </c>
      <c r="D42" s="84" t="n">
        <v>8.1</v>
      </c>
      <c r="E42" s="89" t="inlineStr">
        <is>
          <t>Northwood et al., 1979</t>
        </is>
      </c>
    </row>
    <row r="43">
      <c r="A43" s="103">
        <f>342+273</f>
        <v/>
      </c>
      <c r="B43" s="100" t="n">
        <v>1.666666666666667</v>
      </c>
      <c r="C43" s="74" t="n">
        <v>3.2e+22</v>
      </c>
      <c r="D43" s="84" t="n">
        <v>8.300000000000001</v>
      </c>
      <c r="E43" s="89" t="inlineStr">
        <is>
          <t>Northwood et al., 1979</t>
        </is>
      </c>
    </row>
    <row r="44">
      <c r="A44" s="103">
        <f>342+273</f>
        <v/>
      </c>
      <c r="B44" s="100" t="n">
        <v>1.666666666666667</v>
      </c>
      <c r="C44" s="74" t="n">
        <v>1.6e+22</v>
      </c>
      <c r="D44" s="84" t="n">
        <v>8.5</v>
      </c>
      <c r="E44" s="89" t="inlineStr">
        <is>
          <t>Northwood et al., 1979</t>
        </is>
      </c>
    </row>
    <row r="45" ht="16" customHeight="1">
      <c r="A45" s="95" t="n">
        <v>615</v>
      </c>
      <c r="B45" s="62" t="n">
        <v>1.67</v>
      </c>
      <c r="C45" s="27" t="n">
        <v>1.9e+22</v>
      </c>
      <c r="D45" s="26" t="n">
        <v>8.699999999999999</v>
      </c>
      <c r="E45" s="32" t="inlineStr">
        <is>
          <t>Northwood et al., 1979</t>
        </is>
      </c>
    </row>
    <row r="46">
      <c r="A46" s="103">
        <f>342+273</f>
        <v/>
      </c>
      <c r="B46" s="100" t="n">
        <v>1.666666666666667</v>
      </c>
      <c r="C46" s="74" t="n">
        <v>8.6e+21</v>
      </c>
      <c r="D46" s="84" t="n">
        <v>9.800000000000001</v>
      </c>
      <c r="E46" s="89" t="inlineStr">
        <is>
          <t>Northwood et al., 1979</t>
        </is>
      </c>
    </row>
    <row r="47" ht="16" customHeight="1">
      <c r="A47" s="95" t="n">
        <v>623</v>
      </c>
      <c r="B47" s="84" t="n">
        <v>0.03333333333333333</v>
      </c>
      <c r="C47" s="27" t="n">
        <v>8e+20</v>
      </c>
      <c r="D47" s="26" t="n">
        <v>10</v>
      </c>
      <c r="E47" s="32" t="inlineStr">
        <is>
          <t>Jostsons et al., 1977</t>
        </is>
      </c>
    </row>
    <row r="48">
      <c r="A48" s="103" t="n">
        <v>623</v>
      </c>
      <c r="B48" s="79" t="n">
        <v>1.666666666666667</v>
      </c>
      <c r="C48" s="74" t="n">
        <v>3e+22</v>
      </c>
      <c r="D48" s="84" t="n">
        <v>10</v>
      </c>
      <c r="E48" s="89" t="inlineStr">
        <is>
          <t>Northwood et al., 1977</t>
        </is>
      </c>
    </row>
    <row r="49" ht="16" customHeight="1">
      <c r="A49" s="95" t="n">
        <v>623</v>
      </c>
      <c r="B49" s="84" t="n">
        <v>0.08833333333333333</v>
      </c>
      <c r="C49" s="27" t="n">
        <v>2.7e+21</v>
      </c>
      <c r="D49" s="26" t="n">
        <v>23</v>
      </c>
      <c r="E49" s="32" t="inlineStr">
        <is>
          <t>Jostsons et al., 1977</t>
        </is>
      </c>
    </row>
    <row r="50" ht="16" customHeight="1">
      <c r="A50" s="103" t="n">
        <v>623</v>
      </c>
      <c r="B50" s="104" t="n">
        <v>2</v>
      </c>
      <c r="C50" s="74" t="n">
        <v>4.6e+21</v>
      </c>
      <c r="D50" s="84" t="n"/>
      <c r="E50" s="32" t="inlineStr">
        <is>
          <t>Gilbert et al., 1979</t>
        </is>
      </c>
    </row>
    <row r="51" ht="16" customHeight="1">
      <c r="A51" s="103" t="n">
        <v>623</v>
      </c>
      <c r="B51" s="84" t="n">
        <v>0.2</v>
      </c>
      <c r="C51" s="74" t="n">
        <v>2.4e+21</v>
      </c>
      <c r="D51" s="84" t="n"/>
      <c r="E51" s="32" t="inlineStr">
        <is>
          <t>Gilbert et al., 1979</t>
        </is>
      </c>
    </row>
    <row r="52" ht="16" customHeight="1">
      <c r="A52" s="95" t="n">
        <v>668</v>
      </c>
      <c r="B52" s="84" t="n">
        <v>0.05500000000000001</v>
      </c>
      <c r="C52" s="27" t="n">
        <v>7e+20</v>
      </c>
      <c r="D52" s="26" t="n">
        <v>33</v>
      </c>
      <c r="E52" s="32" t="inlineStr">
        <is>
          <t>Jostsons et al., 1977</t>
        </is>
      </c>
    </row>
    <row r="53" ht="16" customHeight="1">
      <c r="A53" s="95" t="n">
        <v>668</v>
      </c>
      <c r="B53" s="84" t="n">
        <v>0.1066666666666667</v>
      </c>
      <c r="C53" s="27" t="n">
        <v>2e+20</v>
      </c>
      <c r="D53" s="26" t="n">
        <v>56</v>
      </c>
      <c r="E53" s="32" t="inlineStr">
        <is>
          <t>Jostsons et al., 1977</t>
        </is>
      </c>
    </row>
    <row r="54" ht="16" customHeight="1">
      <c r="A54" s="95" t="n">
        <v>668</v>
      </c>
      <c r="B54" s="84" t="n">
        <v>0.3</v>
      </c>
      <c r="C54" s="27" t="n">
        <v>2e+20</v>
      </c>
      <c r="D54" s="26" t="n">
        <v>62</v>
      </c>
      <c r="E54" s="32" t="inlineStr">
        <is>
          <t>Jostsons et al., 1977</t>
        </is>
      </c>
    </row>
    <row r="55">
      <c r="A55" s="103">
        <f>400+273</f>
        <v/>
      </c>
      <c r="B55" s="100" t="n">
        <v>1.666666666666667</v>
      </c>
      <c r="C55" s="74" t="n">
        <v>4e+21</v>
      </c>
      <c r="D55" s="84" t="n">
        <v>16.5</v>
      </c>
      <c r="E55" s="89" t="inlineStr">
        <is>
          <t>Northwood et al., 1979</t>
        </is>
      </c>
    </row>
    <row r="56">
      <c r="A56" s="103">
        <f>400+273</f>
        <v/>
      </c>
      <c r="B56" s="100" t="n">
        <v>1.666666666666667</v>
      </c>
      <c r="C56" s="74" t="n">
        <v>4.8e+21</v>
      </c>
      <c r="D56" s="84" t="n">
        <v>18.3</v>
      </c>
      <c r="E56" s="89" t="inlineStr">
        <is>
          <t>Northwood et al., 1979</t>
        </is>
      </c>
    </row>
    <row r="57" ht="16" customHeight="1">
      <c r="A57" s="95" t="n">
        <v>673</v>
      </c>
      <c r="B57" s="62" t="n">
        <v>1.67</v>
      </c>
      <c r="C57" s="27" t="n">
        <v>9.500000000000001e+21</v>
      </c>
      <c r="D57" s="26" t="n">
        <v>20.1</v>
      </c>
      <c r="E57" s="32" t="inlineStr">
        <is>
          <t>Northwood et al., 1979</t>
        </is>
      </c>
    </row>
    <row r="58">
      <c r="A58" s="103" t="n">
        <v>673</v>
      </c>
      <c r="B58" s="79" t="n">
        <v>1.666666666666667</v>
      </c>
      <c r="C58" s="74" t="n">
        <v>1e+22</v>
      </c>
      <c r="D58" s="84" t="n">
        <v>22</v>
      </c>
      <c r="E58" s="89" t="inlineStr">
        <is>
          <t>Northwood et al., 1977</t>
        </is>
      </c>
    </row>
    <row r="59">
      <c r="A59" s="103">
        <f>400+273</f>
        <v/>
      </c>
      <c r="B59" s="100" t="n">
        <v>1.666666666666667</v>
      </c>
      <c r="C59" s="74" t="n">
        <v>5.150000000000001e+21</v>
      </c>
      <c r="D59" s="84" t="n">
        <v>22.5</v>
      </c>
      <c r="E59" s="89" t="inlineStr">
        <is>
          <t>Northwood et al., 1979</t>
        </is>
      </c>
    </row>
    <row r="60">
      <c r="A60" s="103">
        <f>400+273</f>
        <v/>
      </c>
      <c r="B60" s="100" t="n">
        <v>1.666666666666667</v>
      </c>
      <c r="C60" s="74" t="n">
        <v>1.95e+22</v>
      </c>
      <c r="D60" s="84" t="n">
        <v>23.2</v>
      </c>
      <c r="E60" s="89" t="inlineStr">
        <is>
          <t>Northwood et al., 1979</t>
        </is>
      </c>
    </row>
    <row r="61" ht="16" customHeight="1">
      <c r="A61" s="95" t="n">
        <v>673</v>
      </c>
      <c r="B61" s="62" t="n">
        <v>1.233333333333333</v>
      </c>
      <c r="C61" s="27" t="n">
        <v>4e+20</v>
      </c>
      <c r="D61" s="26" t="n">
        <v>35</v>
      </c>
      <c r="E61" s="32" t="inlineStr">
        <is>
          <t>Northwood et al., 1977</t>
        </is>
      </c>
    </row>
    <row r="62" ht="16" customHeight="1">
      <c r="A62" s="103" t="n">
        <v>673</v>
      </c>
      <c r="B62" s="25" t="n">
        <v>2</v>
      </c>
      <c r="C62" s="69" t="n"/>
      <c r="D62" s="84" t="n">
        <v>37</v>
      </c>
      <c r="E62" s="32" t="inlineStr">
        <is>
          <t>Gilbert et al., 1979</t>
        </is>
      </c>
    </row>
    <row r="63" ht="16" customHeight="1">
      <c r="A63" s="95" t="n">
        <v>673</v>
      </c>
      <c r="B63" s="25" t="n">
        <v>2</v>
      </c>
      <c r="C63" s="27" t="n">
        <v>5e+20</v>
      </c>
      <c r="D63" s="26" t="n">
        <v>50</v>
      </c>
      <c r="E63" s="32" t="inlineStr">
        <is>
          <t>Gilbert et al., 1979</t>
        </is>
      </c>
    </row>
    <row r="64" ht="16" customHeight="1">
      <c r="A64" s="95" t="n">
        <v>673</v>
      </c>
      <c r="B64" s="62" t="n">
        <v>1.833333333333333</v>
      </c>
      <c r="C64" s="27" t="n">
        <v>5e+20</v>
      </c>
      <c r="D64" s="26" t="n">
        <v>50</v>
      </c>
      <c r="E64" s="32" t="inlineStr">
        <is>
          <t>Northwood et al., 1977</t>
        </is>
      </c>
    </row>
    <row r="65">
      <c r="A65" s="103">
        <f>400+273</f>
        <v/>
      </c>
      <c r="B65" s="100" t="n">
        <v>1.666666666666667</v>
      </c>
      <c r="C65" s="74" t="n">
        <v>8.8e+20</v>
      </c>
      <c r="D65" s="84" t="n">
        <v>51.9</v>
      </c>
      <c r="E65" s="89" t="inlineStr">
        <is>
          <t>Northwood et al., 1979</t>
        </is>
      </c>
    </row>
    <row r="66">
      <c r="A66" s="103">
        <f>400+273</f>
        <v/>
      </c>
      <c r="B66" s="100" t="n">
        <v>1.666666666666667</v>
      </c>
      <c r="C66" s="74" t="n">
        <v>8e+20</v>
      </c>
      <c r="D66" s="84" t="n">
        <v>53</v>
      </c>
      <c r="E66" s="89" t="inlineStr">
        <is>
          <t>Northwood et al., 1979</t>
        </is>
      </c>
    </row>
    <row r="67" ht="16" customHeight="1">
      <c r="A67" s="95" t="n">
        <v>673</v>
      </c>
      <c r="B67" s="62" t="n">
        <v>1.67</v>
      </c>
      <c r="C67" s="27" t="n">
        <v>8e+20</v>
      </c>
      <c r="D67" s="26" t="n">
        <v>54</v>
      </c>
      <c r="E67" s="32" t="inlineStr">
        <is>
          <t>Northwood et al., 1979</t>
        </is>
      </c>
    </row>
    <row r="68">
      <c r="A68" s="103">
        <f>400+273</f>
        <v/>
      </c>
      <c r="B68" s="100" t="n">
        <v>1.666666666666667</v>
      </c>
      <c r="C68" s="74" t="n">
        <v>9.4e+20</v>
      </c>
      <c r="D68" s="84" t="n">
        <v>54.2</v>
      </c>
      <c r="E68" s="89" t="inlineStr">
        <is>
          <t>Northwood et al., 1979</t>
        </is>
      </c>
    </row>
    <row r="69">
      <c r="A69" s="103">
        <f>400+273</f>
        <v/>
      </c>
      <c r="B69" s="100" t="n">
        <v>1.666666666666667</v>
      </c>
      <c r="C69" s="74" t="n">
        <v>8e+20</v>
      </c>
      <c r="D69" s="84" t="n">
        <v>56.7</v>
      </c>
      <c r="E69" s="89" t="inlineStr">
        <is>
          <t>Northwood et al., 1979</t>
        </is>
      </c>
    </row>
    <row r="70" ht="16" customHeight="1">
      <c r="A70" s="95" t="n">
        <v>673</v>
      </c>
      <c r="B70" s="25" t="n">
        <v>2</v>
      </c>
      <c r="C70" s="27" t="n">
        <v>2.8e+20</v>
      </c>
      <c r="D70" s="26" t="n">
        <v>60</v>
      </c>
      <c r="E70" s="32" t="inlineStr">
        <is>
          <t>Gilbert et al., 1979</t>
        </is>
      </c>
    </row>
    <row r="71" ht="16" customHeight="1">
      <c r="A71" s="95" t="n">
        <v>673</v>
      </c>
      <c r="B71" s="62" t="n">
        <v>1.233333333333333</v>
      </c>
      <c r="C71" s="27" t="n">
        <v>4e+20</v>
      </c>
      <c r="D71" s="26" t="n">
        <v>60</v>
      </c>
      <c r="E71" s="32" t="inlineStr">
        <is>
          <t>Northwood et al., 1977</t>
        </is>
      </c>
    </row>
    <row r="72" ht="16" customHeight="1">
      <c r="A72" s="103" t="n">
        <v>673</v>
      </c>
      <c r="B72" s="104" t="n">
        <v>2</v>
      </c>
      <c r="C72" s="74" t="n">
        <v>1.4e+21</v>
      </c>
      <c r="D72" s="84" t="n"/>
      <c r="E72" s="32" t="inlineStr">
        <is>
          <t>Gilbert et al., 1979</t>
        </is>
      </c>
    </row>
    <row r="73" ht="16" customHeight="1">
      <c r="A73" s="103" t="n">
        <v>673</v>
      </c>
      <c r="B73" s="84" t="n">
        <v>0.2</v>
      </c>
      <c r="C73" s="74" t="n">
        <v>2e+20</v>
      </c>
      <c r="D73" s="84" t="n"/>
      <c r="E73" s="32" t="inlineStr">
        <is>
          <t>Gilbert et al., 1979</t>
        </is>
      </c>
    </row>
    <row r="74" ht="16" customHeight="1">
      <c r="A74" s="105" t="n">
        <v>723</v>
      </c>
      <c r="B74" s="106" t="n">
        <v>2</v>
      </c>
      <c r="C74" s="78" t="n">
        <v>1.8e+20</v>
      </c>
      <c r="D74" s="86" t="n"/>
      <c r="E74" s="101" t="inlineStr">
        <is>
          <t>Gilbert et al., 1979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23" sqref="C23"/>
    </sheetView>
  </sheetViews>
  <sheetFormatPr baseColWidth="10" defaultRowHeight="15"/>
  <cols>
    <col width="12.33203125" customWidth="1" min="1" max="1"/>
    <col width="12.83203125" customWidth="1" min="2" max="2"/>
    <col width="24" customWidth="1" min="3" max="3"/>
    <col width="16.83203125" customWidth="1" min="4" max="4"/>
    <col width="24.33203125" customWidth="1" min="5" max="5"/>
  </cols>
  <sheetData>
    <row r="1" ht="16" customHeight="1">
      <c r="A1" s="93" t="inlineStr">
        <is>
          <t>Temp. (K)</t>
        </is>
      </c>
      <c r="B1" s="92" t="inlineStr">
        <is>
          <t>Dose (dpa)</t>
        </is>
      </c>
      <c r="C1" s="92" t="inlineStr">
        <is>
          <t>Number Density (m^-3)</t>
        </is>
      </c>
      <c r="D1" s="92" t="inlineStr">
        <is>
          <t>Mean Size (nm)</t>
        </is>
      </c>
      <c r="E1" s="30" t="inlineStr">
        <is>
          <t>Source</t>
        </is>
      </c>
    </row>
    <row r="2" ht="16" customHeight="1">
      <c r="A2" s="94" t="n">
        <v>583</v>
      </c>
      <c r="B2" s="21" t="n">
        <v>14</v>
      </c>
      <c r="C2" s="22" t="n">
        <v>1.2e+21</v>
      </c>
      <c r="D2" s="21" t="n">
        <v>150</v>
      </c>
      <c r="E2" s="31" t="inlineStr">
        <is>
          <t>Tournadre et al., 2012</t>
        </is>
      </c>
    </row>
    <row r="3" ht="16" customHeight="1">
      <c r="A3" s="95" t="n">
        <v>583</v>
      </c>
      <c r="B3" s="26" t="n">
        <v>35</v>
      </c>
      <c r="C3" s="27" t="n">
        <v>1.17e+21</v>
      </c>
      <c r="D3" s="26" t="n">
        <v>150</v>
      </c>
      <c r="E3" s="32" t="inlineStr">
        <is>
          <t>Tournadre et al., 2012</t>
        </is>
      </c>
    </row>
    <row r="4" ht="16" customHeight="1">
      <c r="A4" s="94" t="n">
        <v>573</v>
      </c>
      <c r="B4" s="21" t="n">
        <v>14.5</v>
      </c>
      <c r="C4" s="22" t="n">
        <v>3e+20</v>
      </c>
      <c r="D4" s="21" t="n">
        <v>120</v>
      </c>
      <c r="E4" s="31" t="inlineStr">
        <is>
          <t>Harte et al., 2017</t>
        </is>
      </c>
    </row>
    <row r="5" ht="16" customHeight="1">
      <c r="A5" s="95" t="n">
        <v>573</v>
      </c>
      <c r="B5" s="26" t="n">
        <v>15.8</v>
      </c>
      <c r="C5" s="27" t="n">
        <v>5.5e+20</v>
      </c>
      <c r="D5" s="26" t="n">
        <v>95</v>
      </c>
      <c r="E5" s="32" t="inlineStr">
        <is>
          <t>Harte et al., 2017</t>
        </is>
      </c>
    </row>
    <row r="6" ht="16" customHeight="1">
      <c r="A6" s="96" t="n">
        <v>573</v>
      </c>
      <c r="B6" s="97" t="n">
        <v>24.5</v>
      </c>
      <c r="C6" s="98" t="n">
        <v>8e+20</v>
      </c>
      <c r="D6" s="97" t="n">
        <v>95</v>
      </c>
      <c r="E6" s="60" t="inlineStr">
        <is>
          <t>Harte et al., 2017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zoomScale="81" workbookViewId="0">
      <selection activeCell="E33" sqref="E33"/>
    </sheetView>
  </sheetViews>
  <sheetFormatPr baseColWidth="10" defaultRowHeight="14"/>
  <cols>
    <col width="15.6640625" customWidth="1" style="37" min="1" max="1"/>
    <col width="19.33203125" customWidth="1" style="37" min="2" max="2"/>
    <col width="19.33203125" customWidth="1" style="38" min="3" max="3"/>
    <col width="12.83203125" customWidth="1" style="38" min="4" max="4"/>
    <col width="12.33203125" customWidth="1" style="38" min="5" max="5"/>
    <col width="13.33203125" customWidth="1" style="38" min="6" max="6"/>
    <col width="24" customWidth="1" style="38" min="7" max="7"/>
    <col width="16.83203125" customWidth="1" style="38" min="8" max="8"/>
    <col width="32.5" customWidth="1" style="37" min="9" max="9"/>
    <col width="10.83203125" customWidth="1" style="37" min="10" max="16384"/>
  </cols>
  <sheetData>
    <row r="1" ht="16" customHeight="1">
      <c r="A1" s="56" t="inlineStr">
        <is>
          <t>Material/Alloy</t>
        </is>
      </c>
      <c r="B1" s="34" t="inlineStr">
        <is>
          <t>Irradiation Source</t>
        </is>
      </c>
      <c r="C1" s="35" t="inlineStr">
        <is>
          <t>Fluence (n/m^2)</t>
        </is>
      </c>
      <c r="D1" s="35" t="inlineStr">
        <is>
          <t>Dose (dpa)</t>
        </is>
      </c>
      <c r="E1" s="35" t="inlineStr">
        <is>
          <t>Temp. (K)</t>
        </is>
      </c>
      <c r="F1" s="35" t="inlineStr">
        <is>
          <t>Loop Type</t>
        </is>
      </c>
      <c r="G1" s="35" t="inlineStr">
        <is>
          <t>Number Density (m^-3)</t>
        </is>
      </c>
      <c r="H1" s="35" t="inlineStr">
        <is>
          <t>Mean Size (nm)</t>
        </is>
      </c>
      <c r="I1" s="36" t="inlineStr">
        <is>
          <t>Source</t>
        </is>
      </c>
    </row>
    <row r="2" ht="16" customHeight="1">
      <c r="A2" s="52" t="inlineStr">
        <is>
          <t>Zr</t>
        </is>
      </c>
      <c r="B2" s="19" t="inlineStr">
        <is>
          <t>Neutron</t>
        </is>
      </c>
      <c r="C2" s="21" t="n"/>
      <c r="D2" s="48" t="n">
        <v>0.1333333333333333</v>
      </c>
      <c r="E2" s="21" t="n">
        <v>473</v>
      </c>
      <c r="F2" s="21" t="inlineStr">
        <is>
          <t>&lt;a&gt;</t>
        </is>
      </c>
      <c r="G2" s="22" t="n">
        <v>2.15e+22</v>
      </c>
      <c r="H2" s="21" t="n">
        <v>8.1</v>
      </c>
      <c r="I2" s="31" t="inlineStr">
        <is>
          <t>Northwood et al., 1977</t>
        </is>
      </c>
    </row>
    <row r="3" ht="16" customHeight="1">
      <c r="A3" s="53" t="inlineStr">
        <is>
          <t>Zr</t>
        </is>
      </c>
      <c r="B3" s="24" t="inlineStr">
        <is>
          <t>Neutron</t>
        </is>
      </c>
      <c r="C3" s="26" t="n"/>
      <c r="D3" s="62" t="n">
        <v>0.3</v>
      </c>
      <c r="E3" s="26" t="n">
        <v>500</v>
      </c>
      <c r="F3" s="26" t="inlineStr">
        <is>
          <t>&lt;a&gt;</t>
        </is>
      </c>
      <c r="G3" s="27" t="n">
        <v>1.8e+22</v>
      </c>
      <c r="H3" s="26" t="n">
        <v>17.5</v>
      </c>
      <c r="I3" s="32" t="inlineStr">
        <is>
          <t>Northwood et al., 1976</t>
        </is>
      </c>
    </row>
    <row r="4" ht="16" customHeight="1">
      <c r="A4" s="52" t="inlineStr">
        <is>
          <t>Zr-2</t>
        </is>
      </c>
      <c r="B4" s="19" t="inlineStr">
        <is>
          <t>Neutron</t>
        </is>
      </c>
      <c r="C4" s="21" t="n"/>
      <c r="D4" s="48" t="n">
        <v>0.52</v>
      </c>
      <c r="E4" s="21" t="n">
        <v>523</v>
      </c>
      <c r="F4" s="21" t="inlineStr">
        <is>
          <t>&lt;a&gt;</t>
        </is>
      </c>
      <c r="G4" s="22" t="n">
        <v>3.4e+22</v>
      </c>
      <c r="H4" s="21" t="n">
        <v>8.5</v>
      </c>
      <c r="I4" s="31" t="inlineStr">
        <is>
          <t>Northwood et al., 1979</t>
        </is>
      </c>
    </row>
    <row r="5" ht="16" customHeight="1">
      <c r="A5" s="54" t="inlineStr">
        <is>
          <t>Zr</t>
        </is>
      </c>
      <c r="B5" s="40" t="inlineStr">
        <is>
          <t>Neutron</t>
        </is>
      </c>
      <c r="C5" s="41" t="n"/>
      <c r="D5" s="63" t="n">
        <v>1.833333333333333</v>
      </c>
      <c r="E5" s="41" t="n">
        <v>573</v>
      </c>
      <c r="F5" s="41" t="inlineStr">
        <is>
          <t>&lt;a&gt;</t>
        </is>
      </c>
      <c r="G5" s="42" t="n">
        <v>5e+21</v>
      </c>
      <c r="H5" s="41" t="n">
        <v>18.6</v>
      </c>
      <c r="I5" s="59" t="inlineStr">
        <is>
          <t>Northwood et al., 1977</t>
        </is>
      </c>
    </row>
    <row r="6" ht="16" customHeight="1">
      <c r="A6" s="52" t="inlineStr">
        <is>
          <t>Zr-2</t>
        </is>
      </c>
      <c r="B6" s="19" t="inlineStr">
        <is>
          <t>Neutron</t>
        </is>
      </c>
      <c r="C6" s="21" t="n"/>
      <c r="D6" s="48" t="n">
        <v>0.2883333333333333</v>
      </c>
      <c r="E6" s="21" t="n">
        <v>573</v>
      </c>
      <c r="F6" s="21" t="inlineStr">
        <is>
          <t>&lt;a&gt;</t>
        </is>
      </c>
      <c r="G6" s="22" t="n">
        <v>6e+21</v>
      </c>
      <c r="H6" s="21" t="n">
        <v>14.5</v>
      </c>
      <c r="I6" s="31" t="inlineStr">
        <is>
          <t>Northwood et al., 1977</t>
        </is>
      </c>
    </row>
    <row r="7" ht="16" customHeight="1">
      <c r="A7" s="53" t="inlineStr">
        <is>
          <t>Zr-2</t>
        </is>
      </c>
      <c r="B7" s="24" t="inlineStr">
        <is>
          <t>Neutron</t>
        </is>
      </c>
      <c r="C7" s="26" t="n"/>
      <c r="D7" s="62" t="n">
        <v>3.333333333333333</v>
      </c>
      <c r="E7" s="26" t="n">
        <v>573</v>
      </c>
      <c r="F7" s="26" t="inlineStr">
        <is>
          <t>&lt;a&gt;</t>
        </is>
      </c>
      <c r="G7" s="27" t="n">
        <v>2.6e+22</v>
      </c>
      <c r="H7" s="26" t="n">
        <v>10</v>
      </c>
      <c r="I7" s="32" t="inlineStr">
        <is>
          <t>Northwood et al., 1977</t>
        </is>
      </c>
    </row>
    <row r="8" ht="16" customHeight="1">
      <c r="A8" s="52" t="inlineStr">
        <is>
          <t>Zr-2</t>
        </is>
      </c>
      <c r="B8" s="19" t="inlineStr">
        <is>
          <t>Neutron</t>
        </is>
      </c>
      <c r="C8" s="21" t="n"/>
      <c r="D8" s="48" t="n">
        <v>1.5</v>
      </c>
      <c r="E8" s="21" t="n">
        <v>573</v>
      </c>
      <c r="F8" s="21" t="inlineStr">
        <is>
          <t>&lt;a&gt;</t>
        </is>
      </c>
      <c r="G8" s="22" t="n">
        <v>2.8e+22</v>
      </c>
      <c r="H8" s="21" t="n">
        <v>9</v>
      </c>
      <c r="I8" s="31" t="inlineStr">
        <is>
          <t>Northwood et al., 1977</t>
        </is>
      </c>
    </row>
    <row r="9" ht="16" customHeight="1">
      <c r="A9" s="53" t="inlineStr">
        <is>
          <t>Zr-2</t>
        </is>
      </c>
      <c r="B9" s="24" t="inlineStr">
        <is>
          <t>Neutron</t>
        </is>
      </c>
      <c r="C9" s="26" t="n"/>
      <c r="D9" s="62" t="n">
        <v>0.5</v>
      </c>
      <c r="E9" s="26" t="n">
        <v>573</v>
      </c>
      <c r="F9" s="26" t="inlineStr">
        <is>
          <t>&lt;a&gt;</t>
        </is>
      </c>
      <c r="G9" s="27" t="n">
        <v>2.8e+22</v>
      </c>
      <c r="H9" s="26" t="n">
        <v>7.5</v>
      </c>
      <c r="I9" s="32" t="inlineStr">
        <is>
          <t>Northwood et al., 1977</t>
        </is>
      </c>
    </row>
    <row r="10" ht="16" customHeight="1">
      <c r="A10" s="52" t="inlineStr">
        <is>
          <t>Zr-2</t>
        </is>
      </c>
      <c r="B10" s="19" t="inlineStr">
        <is>
          <t>Neutron</t>
        </is>
      </c>
      <c r="C10" s="21" t="n"/>
      <c r="D10" s="48" t="n">
        <v>0.5</v>
      </c>
      <c r="E10" s="21" t="n">
        <v>573</v>
      </c>
      <c r="F10" s="21" t="inlineStr">
        <is>
          <t>&lt;a&gt;</t>
        </is>
      </c>
      <c r="G10" s="22" t="n">
        <v>2.8e+22</v>
      </c>
      <c r="H10" s="21" t="n">
        <v>6.8</v>
      </c>
      <c r="I10" s="31" t="inlineStr">
        <is>
          <t>Northwood et al., 1977</t>
        </is>
      </c>
    </row>
    <row r="11" ht="16" customHeight="1">
      <c r="A11" s="53" t="inlineStr">
        <is>
          <t>Zr-2.5</t>
        </is>
      </c>
      <c r="B11" s="24" t="inlineStr">
        <is>
          <t>Neutron</t>
        </is>
      </c>
      <c r="C11" s="26" t="n"/>
      <c r="D11" s="62" t="n">
        <v>0.6666666666666666</v>
      </c>
      <c r="E11" s="26" t="n">
        <v>573</v>
      </c>
      <c r="F11" s="26" t="inlineStr">
        <is>
          <t>&lt;a&gt;</t>
        </is>
      </c>
      <c r="G11" s="27" t="n">
        <v>3.7e+22</v>
      </c>
      <c r="H11" s="26" t="n">
        <v>7</v>
      </c>
      <c r="I11" s="32" t="inlineStr">
        <is>
          <t>Northwood et al., 1977</t>
        </is>
      </c>
    </row>
    <row r="12" ht="16" customHeight="1">
      <c r="A12" s="52" t="inlineStr">
        <is>
          <t>Zr-2.5</t>
        </is>
      </c>
      <c r="B12" s="19" t="inlineStr">
        <is>
          <t>Neutron</t>
        </is>
      </c>
      <c r="C12" s="21" t="n"/>
      <c r="D12" s="48" t="n">
        <v>0.125</v>
      </c>
      <c r="E12" s="21" t="n">
        <v>573</v>
      </c>
      <c r="F12" s="21" t="inlineStr">
        <is>
          <t>&lt;a&gt;</t>
        </is>
      </c>
      <c r="G12" s="22" t="n">
        <v>2.1e+22</v>
      </c>
      <c r="H12" s="21" t="n">
        <v>5.8</v>
      </c>
      <c r="I12" s="31" t="inlineStr">
        <is>
          <t>Northwood et al., 1977</t>
        </is>
      </c>
    </row>
    <row r="13">
      <c r="A13" s="64" t="n"/>
      <c r="B13" s="69" t="inlineStr">
        <is>
          <t>Neutron</t>
        </is>
      </c>
      <c r="C13" s="74" t="n">
        <v>5e+23</v>
      </c>
      <c r="D13" s="79">
        <f>Table3[[#This Row],[Fluence (n/m^2)]]/6E+24</f>
        <v/>
      </c>
      <c r="E13" s="84" t="n">
        <v>573</v>
      </c>
      <c r="F13" s="84" t="inlineStr">
        <is>
          <t>&lt;a&gt;</t>
        </is>
      </c>
      <c r="G13" s="74" t="n">
        <v>1e+22</v>
      </c>
      <c r="H13" s="84" t="n">
        <v>4.5</v>
      </c>
      <c r="I13" s="89" t="inlineStr">
        <is>
          <t>Northwood et al., 1977</t>
        </is>
      </c>
    </row>
    <row r="14">
      <c r="A14" s="66" t="n"/>
      <c r="B14" s="71" t="inlineStr">
        <is>
          <t>Neutron</t>
        </is>
      </c>
      <c r="C14" s="76" t="n">
        <v>7.999999999999999e+23</v>
      </c>
      <c r="D14" s="81">
        <f>Table3[[#This Row],[Fluence (n/m^2)]]/6E+24</f>
        <v/>
      </c>
      <c r="E14" s="85" t="n">
        <v>573</v>
      </c>
      <c r="F14" s="85" t="inlineStr">
        <is>
          <t>&lt;a&gt;</t>
        </is>
      </c>
      <c r="G14" s="76" t="n">
        <v>2.5e+22</v>
      </c>
      <c r="H14" s="85" t="n">
        <v>5.8</v>
      </c>
      <c r="I14" s="91" t="inlineStr">
        <is>
          <t>Northwood et al., 1977</t>
        </is>
      </c>
    </row>
    <row r="15">
      <c r="A15" s="64" t="n"/>
      <c r="B15" s="69" t="inlineStr">
        <is>
          <t>Neutron</t>
        </is>
      </c>
      <c r="C15" s="74" t="n">
        <v>1.5e+24</v>
      </c>
      <c r="D15" s="79">
        <f>Table3[[#This Row],[Fluence (n/m^2)]]/6E+24</f>
        <v/>
      </c>
      <c r="E15" s="84" t="n">
        <v>573</v>
      </c>
      <c r="F15" s="84" t="inlineStr">
        <is>
          <t>&lt;a&gt;</t>
        </is>
      </c>
      <c r="G15" s="74" t="n">
        <v>3.6e+22</v>
      </c>
      <c r="H15" s="84" t="n">
        <v>7</v>
      </c>
      <c r="I15" s="89" t="inlineStr">
        <is>
          <t>Northwood et al., 1977</t>
        </is>
      </c>
    </row>
    <row r="16">
      <c r="A16" s="64" t="n"/>
      <c r="B16" s="69" t="inlineStr">
        <is>
          <t>Neutron</t>
        </is>
      </c>
      <c r="C16" s="74" t="n">
        <v>2e+24</v>
      </c>
      <c r="D16" s="79">
        <f>Table3[[#This Row],[Fluence (n/m^2)]]/6E+24</f>
        <v/>
      </c>
      <c r="E16" s="84" t="n">
        <v>573</v>
      </c>
      <c r="F16" s="84" t="inlineStr">
        <is>
          <t>&lt;a&gt;</t>
        </is>
      </c>
      <c r="G16" s="74" t="n">
        <v>3e+22</v>
      </c>
      <c r="H16" s="84" t="n">
        <v>6.4</v>
      </c>
      <c r="I16" s="89" t="inlineStr">
        <is>
          <t>Northwood et al., 1977</t>
        </is>
      </c>
    </row>
    <row r="17">
      <c r="A17" s="66" t="n"/>
      <c r="B17" s="71" t="inlineStr">
        <is>
          <t>Neutron</t>
        </is>
      </c>
      <c r="C17" s="76" t="n">
        <v>4e+22</v>
      </c>
      <c r="D17" s="81">
        <f>Table3[[#This Row],[Fluence (n/m^2)]]/6E+24</f>
        <v/>
      </c>
      <c r="E17" s="85" t="n">
        <v>573</v>
      </c>
      <c r="F17" s="85" t="inlineStr">
        <is>
          <t>&lt;a&gt;</t>
        </is>
      </c>
      <c r="G17" s="76" t="n">
        <v>2.8e+22</v>
      </c>
      <c r="H17" s="85" t="n">
        <v>6.6</v>
      </c>
      <c r="I17" s="89" t="inlineStr">
        <is>
          <t>Northwood et al., 1977</t>
        </is>
      </c>
    </row>
    <row r="18">
      <c r="A18" s="68" t="n"/>
      <c r="B18" s="73" t="inlineStr">
        <is>
          <t>Neutron</t>
        </is>
      </c>
      <c r="C18" s="78" t="n">
        <v>9e+22</v>
      </c>
      <c r="D18" s="83">
        <f>Table3[[#This Row],[Fluence (n/m^2)]]/6E+24</f>
        <v/>
      </c>
      <c r="E18" s="86" t="n">
        <v>573</v>
      </c>
      <c r="F18" s="86" t="inlineStr">
        <is>
          <t>&lt;a&gt;</t>
        </is>
      </c>
      <c r="G18" s="78" t="n">
        <v>3e+22</v>
      </c>
      <c r="H18" s="86" t="n">
        <v>6.8</v>
      </c>
      <c r="I18" s="90" t="inlineStr">
        <is>
          <t>Northwood et al., 1977</t>
        </is>
      </c>
    </row>
    <row r="19">
      <c r="B19" s="37" t="inlineStr">
        <is>
          <t>Neutron</t>
        </is>
      </c>
      <c r="C19" s="58" t="n">
        <v>2e+23</v>
      </c>
      <c r="D19" s="61">
        <f>Table3[[#This Row],[Fluence (n/m^2)]]/6E+24</f>
        <v/>
      </c>
      <c r="E19" s="38" t="n">
        <v>573</v>
      </c>
      <c r="F19" s="38" t="inlineStr">
        <is>
          <t>&lt;a&gt;</t>
        </is>
      </c>
      <c r="G19" s="58" t="n">
        <v>2.7e+22</v>
      </c>
      <c r="H19" s="38" t="n">
        <v>7.2</v>
      </c>
      <c r="I19" s="37" t="inlineStr">
        <is>
          <t>Northwood et al., 1977</t>
        </is>
      </c>
    </row>
    <row r="20">
      <c r="B20" s="37" t="inlineStr">
        <is>
          <t>Neutron</t>
        </is>
      </c>
      <c r="C20" s="58" t="n">
        <v>7.999999999999999e+23</v>
      </c>
      <c r="D20" s="61">
        <f>Table3[[#This Row],[Fluence (n/m^2)]]/6E+24</f>
        <v/>
      </c>
      <c r="E20" s="38" t="n">
        <v>573</v>
      </c>
      <c r="F20" s="38" t="inlineStr">
        <is>
          <t>&lt;a&gt;</t>
        </is>
      </c>
      <c r="G20" s="58" t="n">
        <v>2.5e+22</v>
      </c>
      <c r="H20" s="38" t="n">
        <v>7</v>
      </c>
      <c r="I20" s="37" t="inlineStr">
        <is>
          <t>Northwood et al., 1977</t>
        </is>
      </c>
    </row>
    <row r="21">
      <c r="B21" s="37" t="inlineStr">
        <is>
          <t>Neutron</t>
        </is>
      </c>
      <c r="C21" s="58" t="n">
        <v>1e+24</v>
      </c>
      <c r="D21" s="61">
        <f>Table3[[#This Row],[Fluence (n/m^2)]]/6E+24</f>
        <v/>
      </c>
      <c r="E21" s="38" t="n">
        <v>573</v>
      </c>
      <c r="F21" s="38" t="inlineStr">
        <is>
          <t>&lt;a&gt;</t>
        </is>
      </c>
      <c r="G21" s="58" t="n">
        <v>2.2e+22</v>
      </c>
      <c r="H21" s="38" t="n">
        <v>7.5</v>
      </c>
      <c r="I21" s="37" t="inlineStr">
        <is>
          <t>Northwood et al., 1977</t>
        </is>
      </c>
    </row>
    <row r="22">
      <c r="A22" s="37" t="inlineStr">
        <is>
          <t>Zr-2</t>
        </is>
      </c>
      <c r="B22" s="37" t="inlineStr">
        <is>
          <t>Neutron</t>
        </is>
      </c>
      <c r="C22" s="58" t="n">
        <v>1.5e+24</v>
      </c>
      <c r="D22" s="99">
        <f>Table3[[#This Row],[Fluence (n/m^2)]]/6E+24</f>
        <v/>
      </c>
      <c r="E22" s="38" t="n">
        <v>575</v>
      </c>
      <c r="F22" s="38" t="inlineStr">
        <is>
          <t>&lt;a&gt;</t>
        </is>
      </c>
      <c r="G22" s="58" t="n">
        <v>4.2e+22</v>
      </c>
      <c r="H22" s="38" t="n">
        <v>8</v>
      </c>
      <c r="I22" s="37" t="inlineStr">
        <is>
          <t>Northwood et al., 1974</t>
        </is>
      </c>
    </row>
    <row r="23" ht="16" customHeight="1">
      <c r="A23" s="65" t="inlineStr">
        <is>
          <t>Zr-2</t>
        </is>
      </c>
      <c r="B23" s="70" t="inlineStr">
        <is>
          <t>Neutron</t>
        </is>
      </c>
      <c r="C23" s="75" t="n"/>
      <c r="D23" s="80" t="n">
        <v>1.67</v>
      </c>
      <c r="E23" s="75" t="n">
        <v>615</v>
      </c>
      <c r="F23" s="75" t="inlineStr">
        <is>
          <t>&lt;a&gt;</t>
        </is>
      </c>
      <c r="G23" s="87" t="n">
        <v>1.9e+22</v>
      </c>
      <c r="H23" s="75" t="n">
        <v>8.699999999999999</v>
      </c>
      <c r="I23" s="70" t="inlineStr">
        <is>
          <t>Northwood et al., 1979</t>
        </is>
      </c>
    </row>
    <row r="24">
      <c r="A24" s="37" t="inlineStr">
        <is>
          <t>Zr-2</t>
        </is>
      </c>
      <c r="B24" s="37" t="inlineStr">
        <is>
          <t>Neutron</t>
        </is>
      </c>
      <c r="C24" s="58" t="n">
        <v>1e+25</v>
      </c>
      <c r="D24" s="99">
        <f>Table3[[#This Row],[Fluence (n/m^2)]]/6E+24</f>
        <v/>
      </c>
      <c r="E24" s="38">
        <f>342+273</f>
        <v/>
      </c>
      <c r="F24" s="38" t="inlineStr">
        <is>
          <t>&lt;a&gt;</t>
        </is>
      </c>
      <c r="G24" s="58" t="n">
        <v>8.6e+21</v>
      </c>
      <c r="H24" s="38" t="n">
        <v>9.800000000000001</v>
      </c>
      <c r="I24" s="37" t="inlineStr">
        <is>
          <t>Northwood et al., 1979</t>
        </is>
      </c>
    </row>
    <row r="25">
      <c r="A25" s="37" t="inlineStr">
        <is>
          <t>Zr-2</t>
        </is>
      </c>
      <c r="B25" s="37" t="inlineStr">
        <is>
          <t>Neutron</t>
        </is>
      </c>
      <c r="C25" s="58" t="n">
        <v>1e+25</v>
      </c>
      <c r="D25" s="99">
        <f>Table3[[#This Row],[Fluence (n/m^2)]]/6E+24</f>
        <v/>
      </c>
      <c r="E25" s="38">
        <f>342+273</f>
        <v/>
      </c>
      <c r="F25" s="38" t="inlineStr">
        <is>
          <t>&lt;a&gt;</t>
        </is>
      </c>
      <c r="G25" s="58" t="n">
        <v>3.2e+22</v>
      </c>
      <c r="H25" s="38" t="n">
        <v>8.300000000000001</v>
      </c>
      <c r="I25" s="37" t="inlineStr">
        <is>
          <t>Northwood et al., 1979</t>
        </is>
      </c>
    </row>
    <row r="26">
      <c r="A26" s="37" t="inlineStr">
        <is>
          <t>Zr-2</t>
        </is>
      </c>
      <c r="B26" s="37" t="inlineStr">
        <is>
          <t>Neutron</t>
        </is>
      </c>
      <c r="C26" s="58" t="n">
        <v>1e+25</v>
      </c>
      <c r="D26" s="99">
        <f>Table3[[#This Row],[Fluence (n/m^2)]]/6E+24</f>
        <v/>
      </c>
      <c r="E26" s="38">
        <f>342+273</f>
        <v/>
      </c>
      <c r="F26" s="38" t="inlineStr">
        <is>
          <t>&lt;a&gt;</t>
        </is>
      </c>
      <c r="G26" s="58" t="n">
        <v>1.6e+22</v>
      </c>
      <c r="H26" s="38" t="n">
        <v>8.5</v>
      </c>
      <c r="I26" s="37" t="inlineStr">
        <is>
          <t>Northwood et al., 1979</t>
        </is>
      </c>
    </row>
    <row r="27">
      <c r="A27" s="37" t="inlineStr">
        <is>
          <t>Zr-2</t>
        </is>
      </c>
      <c r="B27" s="37" t="inlineStr">
        <is>
          <t>Neutron</t>
        </is>
      </c>
      <c r="C27" s="58" t="n">
        <v>1e+25</v>
      </c>
      <c r="D27" s="99">
        <f>Table3[[#This Row],[Fluence (n/m^2)]]/6E+24</f>
        <v/>
      </c>
      <c r="E27" s="38">
        <f>342+273</f>
        <v/>
      </c>
      <c r="F27" s="38" t="inlineStr">
        <is>
          <t>&lt;a&gt;</t>
        </is>
      </c>
      <c r="G27" s="58" t="n">
        <v>4.8e+22</v>
      </c>
      <c r="H27" s="38" t="n">
        <v>8.1</v>
      </c>
      <c r="I27" s="37" t="inlineStr">
        <is>
          <t>Northwood et al., 1979</t>
        </is>
      </c>
    </row>
    <row r="28">
      <c r="B28" s="37" t="inlineStr">
        <is>
          <t>Neutron</t>
        </is>
      </c>
      <c r="C28" s="58" t="n">
        <v>1e+25</v>
      </c>
      <c r="D28" s="61">
        <f>Table3[[#This Row],[Fluence (n/m^2)]]/6E+24</f>
        <v/>
      </c>
      <c r="E28" s="38" t="n">
        <v>623</v>
      </c>
      <c r="F28" s="38" t="inlineStr">
        <is>
          <t>&lt;a&gt;</t>
        </is>
      </c>
      <c r="G28" s="58" t="n">
        <v>3e+22</v>
      </c>
      <c r="H28" s="38" t="n">
        <v>10</v>
      </c>
      <c r="I28" s="37" t="inlineStr">
        <is>
          <t>Northwood et al., 1977</t>
        </is>
      </c>
    </row>
    <row r="29" ht="16" customHeight="1">
      <c r="A29" s="67" t="inlineStr">
        <is>
          <t>Zr</t>
        </is>
      </c>
      <c r="B29" s="72" t="inlineStr">
        <is>
          <t>Neutron</t>
        </is>
      </c>
      <c r="C29" s="77" t="n"/>
      <c r="D29" s="82" t="n">
        <v>1.833333333333333</v>
      </c>
      <c r="E29" s="77" t="n">
        <v>673</v>
      </c>
      <c r="F29" s="77" t="inlineStr">
        <is>
          <t>&lt;a&gt;</t>
        </is>
      </c>
      <c r="G29" s="88" t="n">
        <v>5e+20</v>
      </c>
      <c r="H29" s="77" t="n">
        <v>50</v>
      </c>
      <c r="I29" s="72" t="inlineStr">
        <is>
          <t>Northwood et al., 1977</t>
        </is>
      </c>
    </row>
    <row r="30" ht="16" customHeight="1">
      <c r="A30" s="65" t="inlineStr">
        <is>
          <t>Zr</t>
        </is>
      </c>
      <c r="B30" s="70" t="inlineStr">
        <is>
          <t>Neutron</t>
        </is>
      </c>
      <c r="C30" s="75" t="n"/>
      <c r="D30" s="80" t="n">
        <v>1.233333333333333</v>
      </c>
      <c r="E30" s="75" t="n">
        <v>673</v>
      </c>
      <c r="F30" s="75" t="inlineStr">
        <is>
          <t>&lt;a&gt;</t>
        </is>
      </c>
      <c r="G30" s="87" t="n">
        <v>4e+20</v>
      </c>
      <c r="H30" s="75" t="n">
        <v>35</v>
      </c>
      <c r="I30" s="70" t="inlineStr">
        <is>
          <t>Northwood et al., 1977</t>
        </is>
      </c>
    </row>
    <row r="31" ht="16" customHeight="1">
      <c r="A31" s="67" t="inlineStr">
        <is>
          <t>Zr-2</t>
        </is>
      </c>
      <c r="B31" s="72" t="inlineStr">
        <is>
          <t>Neutron</t>
        </is>
      </c>
      <c r="C31" s="77" t="n"/>
      <c r="D31" s="82" t="n">
        <v>1.233333333333333</v>
      </c>
      <c r="E31" s="77" t="n">
        <v>673</v>
      </c>
      <c r="F31" s="77" t="inlineStr">
        <is>
          <t>&lt;a&gt;</t>
        </is>
      </c>
      <c r="G31" s="88" t="n">
        <v>4e+20</v>
      </c>
      <c r="H31" s="77" t="n">
        <v>60</v>
      </c>
      <c r="I31" s="72" t="inlineStr">
        <is>
          <t>Northwood et al., 1977</t>
        </is>
      </c>
    </row>
    <row r="32" ht="16" customHeight="1">
      <c r="A32" s="65" t="inlineStr">
        <is>
          <t>Zr</t>
        </is>
      </c>
      <c r="B32" s="70" t="inlineStr">
        <is>
          <t>Neutron</t>
        </is>
      </c>
      <c r="C32" s="75" t="n"/>
      <c r="D32" s="80" t="n">
        <v>1.67</v>
      </c>
      <c r="E32" s="75" t="n">
        <v>673</v>
      </c>
      <c r="F32" s="75" t="inlineStr">
        <is>
          <t>&lt;a&gt;</t>
        </is>
      </c>
      <c r="G32" s="87" t="n">
        <v>8e+20</v>
      </c>
      <c r="H32" s="75" t="n">
        <v>54</v>
      </c>
      <c r="I32" s="70" t="inlineStr">
        <is>
          <t>Northwood et al., 1979</t>
        </is>
      </c>
    </row>
    <row r="33" ht="16" customHeight="1">
      <c r="A33" s="67" t="inlineStr">
        <is>
          <t>Zr-2</t>
        </is>
      </c>
      <c r="B33" s="72" t="inlineStr">
        <is>
          <t>Neutron</t>
        </is>
      </c>
      <c r="C33" s="77" t="n"/>
      <c r="D33" s="82" t="n">
        <v>1.67</v>
      </c>
      <c r="E33" s="77" t="n">
        <v>673</v>
      </c>
      <c r="F33" s="77" t="inlineStr">
        <is>
          <t>&lt;a&gt;</t>
        </is>
      </c>
      <c r="G33" s="88" t="n">
        <v>9.500000000000001e+21</v>
      </c>
      <c r="H33" s="77" t="n">
        <v>20.1</v>
      </c>
      <c r="I33" s="72" t="inlineStr">
        <is>
          <t>Northwood et al., 1979</t>
        </is>
      </c>
    </row>
    <row r="34">
      <c r="B34" s="37" t="inlineStr">
        <is>
          <t>Neutron</t>
        </is>
      </c>
      <c r="C34" s="58" t="n">
        <v>1e+25</v>
      </c>
      <c r="D34" s="61">
        <f>Table3[[#This Row],[Fluence (n/m^2)]]/6E+24</f>
        <v/>
      </c>
      <c r="E34" s="38" t="n">
        <v>673</v>
      </c>
      <c r="F34" s="38" t="inlineStr">
        <is>
          <t>&lt;a&gt;</t>
        </is>
      </c>
      <c r="G34" s="58" t="n">
        <v>1e+22</v>
      </c>
      <c r="H34" s="38" t="n">
        <v>22</v>
      </c>
      <c r="I34" s="37" t="inlineStr">
        <is>
          <t>Northwood et al., 1977</t>
        </is>
      </c>
    </row>
    <row r="35">
      <c r="A35" s="37" t="inlineStr">
        <is>
          <t>Zr</t>
        </is>
      </c>
      <c r="B35" s="37" t="inlineStr">
        <is>
          <t>Neutron</t>
        </is>
      </c>
      <c r="C35" s="58" t="n">
        <v>1e+25</v>
      </c>
      <c r="D35" s="99">
        <f>Table3[[#This Row],[Fluence (n/m^2)]]/6E+24</f>
        <v/>
      </c>
      <c r="E35" s="38">
        <f>400+273</f>
        <v/>
      </c>
      <c r="F35" s="38" t="inlineStr">
        <is>
          <t>&lt;a&gt;</t>
        </is>
      </c>
      <c r="G35" s="58" t="n">
        <v>8e+20</v>
      </c>
      <c r="H35" s="38" t="n">
        <v>56.7</v>
      </c>
      <c r="I35" s="37" t="inlineStr">
        <is>
          <t>Northwood et al., 1979</t>
        </is>
      </c>
    </row>
    <row r="36">
      <c r="A36" s="37" t="inlineStr">
        <is>
          <t>Zr</t>
        </is>
      </c>
      <c r="B36" s="37" t="inlineStr">
        <is>
          <t>Neutron</t>
        </is>
      </c>
      <c r="C36" s="58" t="n">
        <v>1e+25</v>
      </c>
      <c r="D36" s="99">
        <f>Table3[[#This Row],[Fluence (n/m^2)]]/6E+24</f>
        <v/>
      </c>
      <c r="E36" s="38">
        <f>400+273</f>
        <v/>
      </c>
      <c r="F36" s="38" t="inlineStr">
        <is>
          <t>&lt;a&gt;</t>
        </is>
      </c>
      <c r="G36" s="58" t="n">
        <v>8.8e+20</v>
      </c>
      <c r="H36" s="38" t="n">
        <v>51.9</v>
      </c>
      <c r="I36" s="37" t="inlineStr">
        <is>
          <t>Northwood et al., 1979</t>
        </is>
      </c>
    </row>
    <row r="37">
      <c r="A37" s="37" t="inlineStr">
        <is>
          <t>Zr</t>
        </is>
      </c>
      <c r="B37" s="37" t="inlineStr">
        <is>
          <t>Neutron</t>
        </is>
      </c>
      <c r="C37" s="58" t="n">
        <v>1e+25</v>
      </c>
      <c r="D37" s="99">
        <f>Table3[[#This Row],[Fluence (n/m^2)]]/6E+24</f>
        <v/>
      </c>
      <c r="E37" s="38">
        <f>400+273</f>
        <v/>
      </c>
      <c r="F37" s="38" t="inlineStr">
        <is>
          <t>&lt;a&gt;</t>
        </is>
      </c>
      <c r="G37" s="58" t="n">
        <v>8e+20</v>
      </c>
      <c r="H37" s="38" t="n">
        <v>53</v>
      </c>
      <c r="I37" s="37" t="inlineStr">
        <is>
          <t>Northwood et al., 1979</t>
        </is>
      </c>
    </row>
    <row r="38">
      <c r="A38" s="37" t="inlineStr">
        <is>
          <t>Zr</t>
        </is>
      </c>
      <c r="B38" s="37" t="inlineStr">
        <is>
          <t>Neutron</t>
        </is>
      </c>
      <c r="C38" s="58" t="n">
        <v>1e+25</v>
      </c>
      <c r="D38" s="99">
        <f>Table3[[#This Row],[Fluence (n/m^2)]]/6E+24</f>
        <v/>
      </c>
      <c r="E38" s="38">
        <f>400+273</f>
        <v/>
      </c>
      <c r="F38" s="38" t="inlineStr">
        <is>
          <t>&lt;a&gt;</t>
        </is>
      </c>
      <c r="G38" s="58" t="n">
        <v>9.4e+20</v>
      </c>
      <c r="H38" s="38" t="n">
        <v>54.2</v>
      </c>
      <c r="I38" s="37" t="inlineStr">
        <is>
          <t>Northwood et al., 1979</t>
        </is>
      </c>
    </row>
    <row r="39">
      <c r="A39" s="37" t="inlineStr">
        <is>
          <t>Zr-2</t>
        </is>
      </c>
      <c r="B39" s="37" t="inlineStr">
        <is>
          <t>Neutron</t>
        </is>
      </c>
      <c r="C39" s="58" t="n">
        <v>1e+25</v>
      </c>
      <c r="D39" s="99">
        <f>Table3[[#This Row],[Fluence (n/m^2)]]/6E+24</f>
        <v/>
      </c>
      <c r="E39" s="38">
        <f>400+273</f>
        <v/>
      </c>
      <c r="F39" s="38" t="inlineStr">
        <is>
          <t>&lt;a&gt;</t>
        </is>
      </c>
      <c r="G39" s="58" t="n">
        <v>5.150000000000001e+21</v>
      </c>
      <c r="H39" s="38" t="n">
        <v>22.5</v>
      </c>
      <c r="I39" s="37" t="inlineStr">
        <is>
          <t>Northwood et al., 1979</t>
        </is>
      </c>
    </row>
    <row r="40">
      <c r="A40" s="37" t="inlineStr">
        <is>
          <t>Zr-2</t>
        </is>
      </c>
      <c r="B40" s="37" t="inlineStr">
        <is>
          <t>Neutron</t>
        </is>
      </c>
      <c r="C40" s="58" t="n">
        <v>1e+25</v>
      </c>
      <c r="D40" s="99">
        <f>Table3[[#This Row],[Fluence (n/m^2)]]/6E+24</f>
        <v/>
      </c>
      <c r="E40" s="38">
        <f>400+273</f>
        <v/>
      </c>
      <c r="F40" s="38" t="inlineStr">
        <is>
          <t>&lt;a&gt;</t>
        </is>
      </c>
      <c r="G40" s="58" t="n">
        <v>1.95e+22</v>
      </c>
      <c r="H40" s="38" t="n">
        <v>23.2</v>
      </c>
      <c r="I40" s="37" t="inlineStr">
        <is>
          <t>Northwood et al., 1979</t>
        </is>
      </c>
    </row>
    <row r="41">
      <c r="A41" s="37" t="inlineStr">
        <is>
          <t>Zr-2</t>
        </is>
      </c>
      <c r="B41" s="37" t="inlineStr">
        <is>
          <t>Neutron</t>
        </is>
      </c>
      <c r="C41" s="58" t="n">
        <v>1e+25</v>
      </c>
      <c r="D41" s="99">
        <f>Table3[[#This Row],[Fluence (n/m^2)]]/6E+24</f>
        <v/>
      </c>
      <c r="E41" s="38">
        <f>400+273</f>
        <v/>
      </c>
      <c r="F41" s="38" t="inlineStr">
        <is>
          <t>&lt;a&gt;</t>
        </is>
      </c>
      <c r="G41" s="58" t="n">
        <v>4e+21</v>
      </c>
      <c r="H41" s="38" t="n">
        <v>16.5</v>
      </c>
      <c r="I41" s="37" t="inlineStr">
        <is>
          <t>Northwood et al., 1979</t>
        </is>
      </c>
    </row>
    <row r="42">
      <c r="A42" s="37" t="inlineStr">
        <is>
          <t>Zr-2</t>
        </is>
      </c>
      <c r="B42" s="37" t="inlineStr">
        <is>
          <t>Neutron</t>
        </is>
      </c>
      <c r="C42" s="58" t="n">
        <v>1e+25</v>
      </c>
      <c r="D42" s="99">
        <f>Table3[[#This Row],[Fluence (n/m^2)]]/6E+24</f>
        <v/>
      </c>
      <c r="E42" s="38">
        <f>400+273</f>
        <v/>
      </c>
      <c r="F42" s="38" t="inlineStr">
        <is>
          <t>&lt;a&gt;</t>
        </is>
      </c>
      <c r="G42" s="58" t="n">
        <v>4.8e+21</v>
      </c>
      <c r="H42" s="38" t="n">
        <v>18.3</v>
      </c>
      <c r="I42" s="37" t="inlineStr">
        <is>
          <t>Northwood et al., 1979</t>
        </is>
      </c>
    </row>
    <row r="43">
      <c r="A43" s="37" t="inlineStr">
        <is>
          <t>Zr-2</t>
        </is>
      </c>
      <c r="B43" s="37" t="inlineStr">
        <is>
          <t>Neutron</t>
        </is>
      </c>
      <c r="C43" s="58" t="n">
        <v>3.1e+24</v>
      </c>
      <c r="D43" s="99">
        <f>Table3[[#This Row],[Fluence (n/m^2)]]/6E+24</f>
        <v/>
      </c>
      <c r="E43" s="38">
        <f>250+273</f>
        <v/>
      </c>
      <c r="F43" s="38" t="inlineStr">
        <is>
          <t>&lt;a&gt;</t>
        </is>
      </c>
      <c r="G43" s="58" t="n">
        <v>3.2e+22</v>
      </c>
      <c r="H43" s="38" t="n">
        <v>10.2</v>
      </c>
      <c r="I43" s="37" t="inlineStr">
        <is>
          <t>Northwood et al., 1979</t>
        </is>
      </c>
    </row>
    <row r="44">
      <c r="A44" s="37" t="inlineStr">
        <is>
          <t>Zr-2</t>
        </is>
      </c>
      <c r="B44" s="37" t="inlineStr">
        <is>
          <t>Neutron</t>
        </is>
      </c>
      <c r="C44" s="58" t="n">
        <v>3.1e+24</v>
      </c>
      <c r="D44" s="99">
        <f>Table3[[#This Row],[Fluence (n/m^2)]]/6E+24</f>
        <v/>
      </c>
      <c r="E44" s="38">
        <f>250+273</f>
        <v/>
      </c>
      <c r="F44" s="38" t="inlineStr">
        <is>
          <t>&lt;a&gt;</t>
        </is>
      </c>
      <c r="G44" s="58" t="n">
        <v>5e+22</v>
      </c>
      <c r="H44" s="38" t="n">
        <v>6.6</v>
      </c>
      <c r="I44" s="37" t="inlineStr">
        <is>
          <t>Northwood et al., 1979</t>
        </is>
      </c>
    </row>
    <row r="45">
      <c r="A45" s="37" t="inlineStr">
        <is>
          <t>Zr-2</t>
        </is>
      </c>
      <c r="B45" s="37" t="inlineStr">
        <is>
          <t>Neutron</t>
        </is>
      </c>
      <c r="C45" s="58" t="n">
        <v>3.1e+24</v>
      </c>
      <c r="D45" s="99">
        <f>Table3[[#This Row],[Fluence (n/m^2)]]/6E+24</f>
        <v/>
      </c>
      <c r="E45" s="38">
        <f>250+273</f>
        <v/>
      </c>
      <c r="F45" s="38" t="inlineStr">
        <is>
          <t>&lt;a&gt;</t>
        </is>
      </c>
      <c r="G45" s="58" t="n">
        <v>2e+22</v>
      </c>
      <c r="H45" s="38" t="n">
        <v>6</v>
      </c>
      <c r="I45" s="37" t="inlineStr">
        <is>
          <t>Northwood et al., 1979</t>
        </is>
      </c>
    </row>
    <row r="46">
      <c r="A46" s="37" t="inlineStr">
        <is>
          <t>Zr-2</t>
        </is>
      </c>
      <c r="B46" s="37" t="inlineStr">
        <is>
          <t>Neutron</t>
        </is>
      </c>
      <c r="C46" s="58" t="n">
        <v>3.1e+24</v>
      </c>
      <c r="D46" s="99">
        <f>Table3[[#This Row],[Fluence (n/m^2)]]/6E+24</f>
        <v/>
      </c>
      <c r="E46" s="38">
        <f>250+273</f>
        <v/>
      </c>
      <c r="F46" s="38" t="inlineStr">
        <is>
          <t>&lt;a&gt;</t>
        </is>
      </c>
      <c r="G46" s="58" t="n">
        <v>1.3e+22</v>
      </c>
      <c r="H46" s="38" t="n">
        <v>11.6</v>
      </c>
      <c r="I46" s="37" t="inlineStr">
        <is>
          <t>Northwood et al., 1979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Y41"/>
  <sheetViews>
    <sheetView topLeftCell="M6" zoomScaleNormal="100" workbookViewId="0">
      <selection activeCell="Y35" sqref="Y35"/>
    </sheetView>
  </sheetViews>
  <sheetFormatPr baseColWidth="10" defaultColWidth="8.83203125" defaultRowHeight="15"/>
  <cols>
    <col width="12.83203125" customWidth="1" style="9" min="1" max="1"/>
    <col width="10.6640625" customWidth="1" style="9" min="2" max="2"/>
    <col width="11.5" bestFit="1" customWidth="1" style="9" min="3" max="3"/>
    <col width="12.33203125" customWidth="1" style="9" min="4" max="4"/>
    <col width="8.6640625" customWidth="1" style="9" min="5" max="5"/>
    <col width="10.6640625" customWidth="1" style="9" min="6" max="6"/>
    <col width="11.5" bestFit="1" customWidth="1" style="9" min="7" max="7"/>
    <col width="8.6640625" customWidth="1" style="9" min="8" max="8"/>
    <col width="8.83203125" bestFit="1" customWidth="1" min="16" max="16"/>
    <col width="11.33203125" bestFit="1" customWidth="1" min="17" max="17"/>
    <col width="11.33203125" customWidth="1" min="18" max="18"/>
    <col width="8.83203125" bestFit="1" customWidth="1" min="19" max="22"/>
    <col width="8.83203125" bestFit="1" customWidth="1" min="24" max="24"/>
  </cols>
  <sheetData>
    <row r="3" ht="16" customHeight="1">
      <c r="A3" s="9" t="inlineStr">
        <is>
          <t>electrons</t>
        </is>
      </c>
      <c r="F3" s="9" t="inlineStr">
        <is>
          <t>dpa</t>
        </is>
      </c>
      <c r="G3" s="9" t="inlineStr">
        <is>
          <t>size nm</t>
        </is>
      </c>
    </row>
    <row r="4" ht="16" customHeight="1">
      <c r="A4" s="9" t="n">
        <v>400</v>
      </c>
      <c r="C4" s="9" t="inlineStr">
        <is>
          <t>dpa</t>
        </is>
      </c>
      <c r="D4" s="9" t="inlineStr">
        <is>
          <t>density, m^-3</t>
        </is>
      </c>
      <c r="F4" s="10">
        <f>$X$7*S13</f>
        <v/>
      </c>
      <c r="G4" t="n">
        <v>2.80746368288876</v>
      </c>
    </row>
    <row r="5">
      <c r="F5" s="10">
        <f>$X$7*S14</f>
        <v/>
      </c>
      <c r="G5" t="n">
        <v>4.77573985187061</v>
      </c>
    </row>
    <row r="6">
      <c r="F6" s="10">
        <f>$X$7*S15</f>
        <v/>
      </c>
      <c r="G6" t="n">
        <v>10.4618710067071</v>
      </c>
    </row>
    <row r="7">
      <c r="F7" s="10">
        <f>$X$7*S16</f>
        <v/>
      </c>
      <c r="G7" t="n">
        <v>15.153692107187</v>
      </c>
      <c r="Q7" t="inlineStr">
        <is>
          <t>Electron Irradiation (Hellio JNM 159(1988)368).</t>
        </is>
      </c>
      <c r="W7" t="inlineStr">
        <is>
          <t>dpa rate=</t>
        </is>
      </c>
      <c r="X7" s="2" t="n">
        <v>0.0005</v>
      </c>
      <c r="Y7" t="inlineStr">
        <is>
          <t>dpa/s</t>
        </is>
      </c>
    </row>
    <row r="8">
      <c r="F8" s="10">
        <f>$X$7*S17</f>
        <v/>
      </c>
      <c r="G8" t="n">
        <v>17.6763406338408</v>
      </c>
    </row>
    <row r="9">
      <c r="F9" s="10">
        <f>$X$7*S18</f>
        <v/>
      </c>
      <c r="G9" t="n">
        <v>22.7241806796147</v>
      </c>
      <c r="K9" s="2" t="n"/>
      <c r="S9" t="inlineStr">
        <is>
          <t>pure</t>
        </is>
      </c>
      <c r="U9" t="inlineStr">
        <is>
          <t>oxygen</t>
        </is>
      </c>
    </row>
    <row r="11">
      <c r="A11" s="9" t="n">
        <v>450</v>
      </c>
      <c r="C11" s="10">
        <f>$X$7*Q20</f>
        <v/>
      </c>
      <c r="D11" s="9">
        <f>R20*100000000000000000000</f>
        <v/>
      </c>
      <c r="F11" s="10">
        <f>$X$7*S20</f>
        <v/>
      </c>
      <c r="G11" s="9">
        <f>T20</f>
        <v/>
      </c>
    </row>
    <row r="12">
      <c r="C12" s="10">
        <f>$X$7*Q21</f>
        <v/>
      </c>
      <c r="D12" s="9">
        <f>R21*100000000000000000000</f>
        <v/>
      </c>
      <c r="F12" s="10">
        <f>$X$7*S21</f>
        <v/>
      </c>
      <c r="G12" s="9">
        <f>T21</f>
        <v/>
      </c>
      <c r="Q12" t="inlineStr">
        <is>
          <t>TIME, S</t>
        </is>
      </c>
      <c r="R12" t="inlineStr">
        <is>
          <t>DENSITY, E20</t>
        </is>
      </c>
      <c r="S12" t="inlineStr">
        <is>
          <t>TIME, S</t>
        </is>
      </c>
      <c r="T12" t="inlineStr">
        <is>
          <t>SIZE, NM</t>
        </is>
      </c>
      <c r="U12" t="inlineStr">
        <is>
          <t>TIME, S</t>
        </is>
      </c>
      <c r="V12" t="inlineStr">
        <is>
          <t>SIZE, NM</t>
        </is>
      </c>
    </row>
    <row r="13">
      <c r="C13" s="10">
        <f>$X$7*Q22</f>
        <v/>
      </c>
      <c r="D13" s="9">
        <f>R22*100000000000000000000</f>
        <v/>
      </c>
      <c r="F13" s="10">
        <f>$X$7*S22</f>
        <v/>
      </c>
      <c r="G13" s="9">
        <f>T22</f>
        <v/>
      </c>
      <c r="P13" t="n">
        <v>400</v>
      </c>
      <c r="S13" t="n">
        <v>394.617332612819</v>
      </c>
      <c r="T13" t="n">
        <v>2.80746368288876</v>
      </c>
    </row>
    <row r="14">
      <c r="C14" s="10">
        <f>$X$7*Q23</f>
        <v/>
      </c>
      <c r="D14" s="9">
        <f>R23*100000000000000000000</f>
        <v/>
      </c>
      <c r="S14" t="n">
        <v>519.401972938322</v>
      </c>
      <c r="T14" t="n">
        <v>4.77573985187061</v>
      </c>
    </row>
    <row r="15">
      <c r="C15" s="10">
        <f>$X$7*Q24</f>
        <v/>
      </c>
      <c r="D15" s="9">
        <f>R24*100000000000000000000</f>
        <v/>
      </c>
      <c r="S15" t="n">
        <v>724.335378323108</v>
      </c>
      <c r="T15" t="n">
        <v>10.4618710067071</v>
      </c>
    </row>
    <row r="16">
      <c r="S16" t="n">
        <v>880.701865920723</v>
      </c>
      <c r="T16" t="n">
        <v>15.153692107187</v>
      </c>
    </row>
    <row r="17">
      <c r="A17" s="9" t="n">
        <v>500</v>
      </c>
      <c r="C17" s="9">
        <f>0.0005*Q26</f>
        <v/>
      </c>
      <c r="D17" s="9">
        <f>100000000000000000000*R26</f>
        <v/>
      </c>
      <c r="F17" s="9">
        <f>0.0005*S26</f>
        <v/>
      </c>
      <c r="G17" s="9">
        <f>T26</f>
        <v/>
      </c>
      <c r="S17" t="n">
        <v>1185.33541011051</v>
      </c>
      <c r="T17" t="n">
        <v>17.6763406338408</v>
      </c>
    </row>
    <row r="18">
      <c r="C18" s="9">
        <f>0.0005*Q27</f>
        <v/>
      </c>
      <c r="D18" s="9">
        <f>100000000000000000000*R27</f>
        <v/>
      </c>
      <c r="F18" s="9">
        <f>0.0005*S27</f>
        <v/>
      </c>
      <c r="G18" s="9">
        <f>T27</f>
        <v/>
      </c>
      <c r="S18" t="n">
        <v>1324.47948122954</v>
      </c>
      <c r="T18" t="n">
        <v>22.7241806796147</v>
      </c>
    </row>
    <row r="19">
      <c r="C19" s="9">
        <f>0.0005*Q28</f>
        <v/>
      </c>
      <c r="D19" s="9">
        <f>100000000000000000000*R28</f>
        <v/>
      </c>
      <c r="F19" s="9">
        <f>0.0005*S28</f>
        <v/>
      </c>
      <c r="G19" s="9">
        <f>T28</f>
        <v/>
      </c>
    </row>
    <row r="20">
      <c r="C20" s="9">
        <f>0.0005*Q29</f>
        <v/>
      </c>
      <c r="D20" s="9">
        <f>100000000000000000000*R29</f>
        <v/>
      </c>
      <c r="P20" t="n">
        <v>450</v>
      </c>
      <c r="Q20" t="n">
        <v>245.694283836966</v>
      </c>
      <c r="R20" t="n">
        <v>2.05336565049617</v>
      </c>
      <c r="S20" t="n">
        <v>318.458946565371</v>
      </c>
      <c r="T20" t="n">
        <v>2.17680155122529</v>
      </c>
    </row>
    <row r="21">
      <c r="C21" s="9">
        <f>0.0005*Q30</f>
        <v/>
      </c>
      <c r="D21" s="9">
        <f>100000000000000000000*R30</f>
        <v/>
      </c>
      <c r="Q21" t="n">
        <v>386.482064106633</v>
      </c>
      <c r="R21" t="n">
        <v>6.98077896752311</v>
      </c>
      <c r="S21" t="n">
        <v>826.349640272524</v>
      </c>
      <c r="T21" t="n">
        <v>20.6872437140405</v>
      </c>
    </row>
    <row r="22">
      <c r="Q22" t="n">
        <v>595.898918744907</v>
      </c>
      <c r="R22" t="n">
        <v>8.14895583602547</v>
      </c>
      <c r="S22" t="n">
        <v>1299.67682804073</v>
      </c>
      <c r="T22" t="n">
        <v>39.2231158015194</v>
      </c>
    </row>
    <row r="23">
      <c r="A23" s="9" t="n">
        <v>550</v>
      </c>
      <c r="C23" s="9">
        <f>0.0005*Q33</f>
        <v/>
      </c>
      <c r="D23" s="9">
        <f>100000000000000000000*R33</f>
        <v/>
      </c>
      <c r="F23" s="9">
        <f>0.0005*U33</f>
        <v/>
      </c>
      <c r="G23" t="n">
        <v>11.4590122127455</v>
      </c>
      <c r="Q23" t="n">
        <v>718.792103114685</v>
      </c>
      <c r="R23" t="n">
        <v>7.98980045743209</v>
      </c>
    </row>
    <row r="24">
      <c r="C24" s="9">
        <f>0.0005*Q34</f>
        <v/>
      </c>
      <c r="D24" s="9">
        <f>100000000000000000000*R34</f>
        <v/>
      </c>
      <c r="F24" s="9">
        <f>0.0005*U34</f>
        <v/>
      </c>
      <c r="G24" t="n">
        <v>14.4186903176447</v>
      </c>
      <c r="Q24" t="n">
        <v>821.2706618643321</v>
      </c>
      <c r="R24" t="n">
        <v>7.75895540055119</v>
      </c>
    </row>
    <row r="25">
      <c r="C25" s="9">
        <f>0.0005*Q35</f>
        <v/>
      </c>
      <c r="D25" s="9">
        <f>100000000000000000000*R35</f>
        <v/>
      </c>
      <c r="F25" s="9">
        <f>0.0005*U35</f>
        <v/>
      </c>
      <c r="G25" t="n">
        <v>17.0950100592219</v>
      </c>
    </row>
    <row r="26">
      <c r="F26" s="9">
        <f>0.0005*U36</f>
        <v/>
      </c>
      <c r="G26" t="n">
        <v>20.6596582698138</v>
      </c>
      <c r="P26" t="n">
        <v>500</v>
      </c>
      <c r="Q26" t="n">
        <v>434.141682300739</v>
      </c>
      <c r="R26" t="n">
        <v>4.10454304929463</v>
      </c>
      <c r="S26" t="n">
        <v>451.046335441898</v>
      </c>
      <c r="T26" t="n">
        <v>9.289551479703629</v>
      </c>
      <c r="U26" t="n">
        <v>494.36966932079</v>
      </c>
      <c r="V26" t="n">
        <v>3.38188206624925</v>
      </c>
    </row>
    <row r="27">
      <c r="Q27" t="n">
        <v>595.3726650833</v>
      </c>
      <c r="R27" t="n">
        <v>4.75262154818855</v>
      </c>
      <c r="S27" t="n">
        <v>608.7775623298051</v>
      </c>
      <c r="T27" t="n">
        <v>21.8773641883086</v>
      </c>
      <c r="U27" t="n">
        <v>779.2411663030221</v>
      </c>
      <c r="V27" t="n">
        <v>4.36655237879353</v>
      </c>
    </row>
    <row r="28">
      <c r="Q28" t="n">
        <v>737.61582907848</v>
      </c>
      <c r="R28" t="n">
        <v>5.20075666048226</v>
      </c>
      <c r="S28" t="n">
        <v>754.834334636617</v>
      </c>
      <c r="T28" t="n">
        <v>26.9201182491497</v>
      </c>
      <c r="U28" t="n">
        <v>1012.75962710039</v>
      </c>
      <c r="V28" t="n">
        <v>7.06412399761986</v>
      </c>
    </row>
    <row r="29">
      <c r="A29" s="9" t="n">
        <v>600</v>
      </c>
      <c r="C29" s="9">
        <f>0.0005*Q38</f>
        <v/>
      </c>
      <c r="D29" s="9">
        <f>100000000000000000000*R38</f>
        <v/>
      </c>
      <c r="F29" s="9">
        <f>0.0005*S38</f>
        <v/>
      </c>
      <c r="G29" t="n">
        <v>10.7670301026733</v>
      </c>
      <c r="Q29" t="n">
        <v>786.287053608864</v>
      </c>
      <c r="R29" t="n">
        <v>4.73259884205822</v>
      </c>
      <c r="U29" t="n">
        <v>1115.90207134964</v>
      </c>
      <c r="V29" t="n">
        <v>9.99688305800351</v>
      </c>
    </row>
    <row r="30">
      <c r="C30" s="9">
        <f>0.0005*Q39</f>
        <v/>
      </c>
      <c r="D30" s="9">
        <f>100000000000000000000*R39</f>
        <v/>
      </c>
      <c r="F30" s="9">
        <f>0.0005*S39</f>
        <v/>
      </c>
      <c r="G30" t="n">
        <v>31.2254044947392</v>
      </c>
      <c r="Q30" t="n">
        <v>887.825524320323</v>
      </c>
      <c r="R30" t="n">
        <v>4.64737823332166</v>
      </c>
      <c r="U30" t="n">
        <v>1314.88764840894</v>
      </c>
      <c r="V30" t="n">
        <v>9.501005922189821</v>
      </c>
    </row>
    <row r="31">
      <c r="C31" s="9">
        <f>0.0005*Q40</f>
        <v/>
      </c>
      <c r="D31" s="9">
        <f>100000000000000000000*R40</f>
        <v/>
      </c>
      <c r="F31" s="9">
        <f>0.0005*S40</f>
        <v/>
      </c>
      <c r="G31" t="n">
        <v>69.04224546234779</v>
      </c>
    </row>
    <row r="33">
      <c r="P33" t="n">
        <v>550</v>
      </c>
      <c r="Q33" t="n">
        <v>645.084489577794</v>
      </c>
      <c r="R33" t="n">
        <v>3.80744306043405</v>
      </c>
      <c r="U33" t="n">
        <v>457.178884134766</v>
      </c>
      <c r="V33" t="n">
        <v>11.4590122127455</v>
      </c>
    </row>
    <row r="34">
      <c r="Q34" t="n">
        <v>762.796388286336</v>
      </c>
      <c r="R34" t="n">
        <v>3.55799215986979</v>
      </c>
      <c r="U34" t="n">
        <v>625.5192542007881</v>
      </c>
      <c r="V34" t="n">
        <v>14.4186903176447</v>
      </c>
    </row>
    <row r="35">
      <c r="Q35" t="n">
        <v>889.843682344394</v>
      </c>
      <c r="R35" t="n">
        <v>3.11046163897549</v>
      </c>
      <c r="U35" t="n">
        <v>807.565668300701</v>
      </c>
      <c r="V35" t="n">
        <v>17.0950100592219</v>
      </c>
    </row>
    <row r="36">
      <c r="U36" t="n">
        <v>1041.14363435437</v>
      </c>
      <c r="V36" t="n">
        <v>20.6596582698138</v>
      </c>
    </row>
    <row r="38">
      <c r="P38" s="9" t="n">
        <v>600</v>
      </c>
      <c r="Q38" s="9" t="n">
        <v>89.1964557946684</v>
      </c>
      <c r="R38" s="9" t="n">
        <v>0.727370958522546</v>
      </c>
      <c r="S38" t="n">
        <v>309.573307055744</v>
      </c>
      <c r="T38" t="n">
        <v>10.7670301026733</v>
      </c>
      <c r="U38" t="n">
        <v>440.47774220056</v>
      </c>
      <c r="V38" t="n">
        <v>18.0995154571988</v>
      </c>
    </row>
    <row r="39">
      <c r="P39" s="9" t="n"/>
      <c r="Q39" s="9" t="n">
        <v>632.826006758736</v>
      </c>
      <c r="R39" s="9" t="n">
        <v>1.02335771320436</v>
      </c>
      <c r="S39" t="n">
        <v>503.232779172891</v>
      </c>
      <c r="T39" t="n">
        <v>31.2254044947392</v>
      </c>
      <c r="U39" t="n">
        <v>691.1733869825169</v>
      </c>
      <c r="V39" t="n">
        <v>21.0931965656967</v>
      </c>
    </row>
    <row r="40">
      <c r="P40" s="9" t="n"/>
      <c r="Q40" s="9" t="n">
        <v>869.924861837341</v>
      </c>
      <c r="R40" s="9" t="n">
        <v>1.04976604318303</v>
      </c>
      <c r="S40" t="n">
        <v>903.843097364824</v>
      </c>
      <c r="T40" t="n">
        <v>69.04224546234779</v>
      </c>
      <c r="U40" t="n">
        <v>887.223371397807</v>
      </c>
      <c r="V40" t="n">
        <v>27.8215409027798</v>
      </c>
    </row>
    <row r="41">
      <c r="U41" t="n">
        <v>1234.57538749256</v>
      </c>
      <c r="V41" t="n">
        <v>39.2366325692103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F22" sqref="F22"/>
    </sheetView>
  </sheetViews>
  <sheetFormatPr baseColWidth="10" defaultRowHeight="15"/>
  <cols>
    <col width="15.6640625" customWidth="1" min="1" max="1"/>
    <col width="19.33203125" customWidth="1" min="2" max="2"/>
    <col width="17.33203125" customWidth="1" style="39" min="3" max="3"/>
    <col width="12.83203125" customWidth="1" min="4" max="4"/>
    <col width="12.33203125" customWidth="1" min="5" max="5"/>
    <col width="12.83203125" customWidth="1" min="6" max="6"/>
    <col width="24" customWidth="1" min="7" max="7"/>
    <col width="16.83203125" customWidth="1" min="8" max="8"/>
    <col width="22.33203125" customWidth="1" min="9" max="9"/>
    <col width="27.33203125" bestFit="1" customWidth="1" min="11" max="11"/>
  </cols>
  <sheetData>
    <row r="1" ht="16" customHeight="1">
      <c r="A1" s="56" t="inlineStr">
        <is>
          <t>Material/Alloy</t>
        </is>
      </c>
      <c r="B1" s="34" t="inlineStr">
        <is>
          <t>Irradiation Source</t>
        </is>
      </c>
      <c r="C1" s="35" t="inlineStr">
        <is>
          <t>Fluence (n/m^2)</t>
        </is>
      </c>
      <c r="D1" s="35" t="inlineStr">
        <is>
          <t>Dose (dpa)</t>
        </is>
      </c>
      <c r="E1" s="35" t="inlineStr">
        <is>
          <t>Temp. (K)</t>
        </is>
      </c>
      <c r="F1" s="35" t="inlineStr">
        <is>
          <t>Loop Type</t>
        </is>
      </c>
      <c r="G1" s="35" t="inlineStr">
        <is>
          <t>Number Density (m^-3)</t>
        </is>
      </c>
      <c r="H1" s="35" t="inlineStr">
        <is>
          <t>Mean Size (nm)</t>
        </is>
      </c>
      <c r="I1" s="33" t="inlineStr">
        <is>
          <t>Source</t>
        </is>
      </c>
      <c r="K1" s="11" t="inlineStr">
        <is>
          <t>Jostons JNM66(1977)236 &amp; JNM68(1977)267</t>
        </is>
      </c>
    </row>
    <row r="2" ht="16" customHeight="1">
      <c r="A2" s="52" t="inlineStr">
        <is>
          <t>Zr</t>
        </is>
      </c>
      <c r="B2" s="19" t="inlineStr">
        <is>
          <t>Neutron</t>
        </is>
      </c>
      <c r="C2" s="22" t="n">
        <v>3.8e+23</v>
      </c>
      <c r="D2" s="49">
        <f>C2/6E+24</f>
        <v/>
      </c>
      <c r="E2" s="21" t="n">
        <v>573</v>
      </c>
      <c r="F2" s="21" t="inlineStr">
        <is>
          <t>&lt;a&gt;</t>
        </is>
      </c>
      <c r="G2" s="22" t="n">
        <v>1.2e+22</v>
      </c>
      <c r="H2" s="21" t="n">
        <v>9</v>
      </c>
      <c r="I2" s="19" t="inlineStr">
        <is>
          <t>Jostsons et al., 1977</t>
        </is>
      </c>
    </row>
    <row r="3" ht="16" customHeight="1">
      <c r="A3" s="53" t="inlineStr">
        <is>
          <t>Zr</t>
        </is>
      </c>
      <c r="B3" s="24" t="inlineStr">
        <is>
          <t>Neutron</t>
        </is>
      </c>
      <c r="C3" s="27" t="n">
        <v>5.3e+23</v>
      </c>
      <c r="D3" s="49">
        <f>C3/6E+24</f>
        <v/>
      </c>
      <c r="E3" s="26" t="n">
        <v>623</v>
      </c>
      <c r="F3" s="26" t="inlineStr">
        <is>
          <t>&lt;a&gt;</t>
        </is>
      </c>
      <c r="G3" s="27" t="n">
        <v>2.7e+21</v>
      </c>
      <c r="H3" s="26" t="n">
        <v>23</v>
      </c>
      <c r="I3" s="24" t="inlineStr">
        <is>
          <t>Jostsons et al., 1977</t>
        </is>
      </c>
    </row>
    <row r="4" ht="16" customHeight="1">
      <c r="A4" s="52" t="inlineStr">
        <is>
          <t>Zr</t>
        </is>
      </c>
      <c r="B4" s="19" t="inlineStr">
        <is>
          <t>Neutron</t>
        </is>
      </c>
      <c r="C4" s="22" t="n">
        <v>2e+23</v>
      </c>
      <c r="D4" s="49">
        <f>C4/6E+24</f>
        <v/>
      </c>
      <c r="E4" s="21" t="n">
        <v>623</v>
      </c>
      <c r="F4" s="21" t="inlineStr">
        <is>
          <t>&lt;a&gt;</t>
        </is>
      </c>
      <c r="G4" s="22" t="n">
        <v>8e+20</v>
      </c>
      <c r="H4" s="21" t="n">
        <v>10</v>
      </c>
      <c r="I4" s="19" t="inlineStr">
        <is>
          <t>Jostsons et al., 1977</t>
        </is>
      </c>
    </row>
    <row r="5" ht="16" customHeight="1">
      <c r="A5" s="54" t="inlineStr">
        <is>
          <t>Zr</t>
        </is>
      </c>
      <c r="B5" s="40" t="inlineStr">
        <is>
          <t>Neutron</t>
        </is>
      </c>
      <c r="C5" s="42" t="n">
        <v>1.8e+24</v>
      </c>
      <c r="D5" s="49">
        <f>C5/6E+24</f>
        <v/>
      </c>
      <c r="E5" s="41" t="n">
        <v>668</v>
      </c>
      <c r="F5" s="41" t="inlineStr">
        <is>
          <t>&lt;a&gt;</t>
        </is>
      </c>
      <c r="G5" s="42" t="n">
        <v>2e+20</v>
      </c>
      <c r="H5" s="41" t="n">
        <v>62</v>
      </c>
      <c r="I5" s="40" t="inlineStr">
        <is>
          <t>Jostsons et al., 1977</t>
        </is>
      </c>
    </row>
    <row r="6" ht="16" customHeight="1">
      <c r="A6" s="52" t="inlineStr">
        <is>
          <t>Zr</t>
        </is>
      </c>
      <c r="B6" s="19" t="inlineStr">
        <is>
          <t>Neutron</t>
        </is>
      </c>
      <c r="C6" s="22" t="n">
        <v>6.4e+23</v>
      </c>
      <c r="D6" s="49">
        <f>C6/6E+24</f>
        <v/>
      </c>
      <c r="E6" s="21" t="n">
        <v>668</v>
      </c>
      <c r="F6" s="21" t="inlineStr">
        <is>
          <t>&lt;a&gt;</t>
        </is>
      </c>
      <c r="G6" s="22" t="n">
        <v>2e+20</v>
      </c>
      <c r="H6" s="21" t="n">
        <v>56</v>
      </c>
      <c r="I6" s="19" t="inlineStr">
        <is>
          <t>Jostsons et al., 1977</t>
        </is>
      </c>
    </row>
    <row r="7" ht="16" customHeight="1">
      <c r="A7" s="53" t="inlineStr">
        <is>
          <t>Zr</t>
        </is>
      </c>
      <c r="B7" s="24" t="inlineStr">
        <is>
          <t>Neutron</t>
        </is>
      </c>
      <c r="C7" s="27" t="n">
        <v>3.3e+23</v>
      </c>
      <c r="D7" s="49">
        <f>C7/6E+24</f>
        <v/>
      </c>
      <c r="E7" s="26" t="n">
        <v>668</v>
      </c>
      <c r="F7" s="26" t="inlineStr">
        <is>
          <t>&lt;a&gt;</t>
        </is>
      </c>
      <c r="G7" s="27" t="n">
        <v>7e+20</v>
      </c>
      <c r="H7" s="26" t="n">
        <v>33</v>
      </c>
      <c r="I7" s="24" t="inlineStr">
        <is>
          <t>Jostsons et al., 1977</t>
        </is>
      </c>
    </row>
    <row r="8" ht="16" customHeight="1">
      <c r="A8" s="55" t="inlineStr">
        <is>
          <t>Zr</t>
        </is>
      </c>
      <c r="B8" s="50" t="inlineStr">
        <is>
          <t>Neutron</t>
        </is>
      </c>
      <c r="C8" s="51" t="n">
        <v>6.4e+23</v>
      </c>
      <c r="D8" s="49">
        <f>C8/6E+24</f>
        <v/>
      </c>
      <c r="I8" s="24" t="inlineStr">
        <is>
          <t>Jostsons et al., 1977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10"/>
  <sheetViews>
    <sheetView zoomScale="200" zoomScaleNormal="200" workbookViewId="0">
      <selection activeCell="F14" sqref="F14"/>
    </sheetView>
  </sheetViews>
  <sheetFormatPr baseColWidth="10" defaultColWidth="8.83203125" defaultRowHeight="15"/>
  <cols>
    <col width="8.6640625" customWidth="1" style="12" min="6" max="6"/>
  </cols>
  <sheetData>
    <row r="2">
      <c r="J2" s="11" t="inlineStr">
        <is>
          <t>Jostons JNM66(1977)236 &amp; JNM68(1977)267</t>
        </is>
      </c>
    </row>
    <row r="3" ht="96" customFormat="1" customHeight="1" s="9">
      <c r="A3" s="9" t="inlineStr">
        <is>
          <t>Irradiation temperature (K)</t>
        </is>
      </c>
      <c r="B3" s="9" t="inlineStr">
        <is>
          <t>Fast neutron fluence (&gt;1 MeV) (neutrons m^-2)</t>
        </is>
      </c>
      <c r="C3" s="9" t="inlineStr">
        <is>
          <t>dpa</t>
        </is>
      </c>
      <c r="D3" s="9" t="inlineStr">
        <is>
          <t>Loop concentration (m^-3)</t>
        </is>
      </c>
      <c r="E3" s="9" t="inlineStr">
        <is>
          <t>Average loop diameter (nm)</t>
        </is>
      </c>
      <c r="F3" s="13" t="inlineStr">
        <is>
          <t>Interstitial loops (%)</t>
        </is>
      </c>
    </row>
    <row r="4">
      <c r="A4" t="n">
        <v>708</v>
      </c>
      <c r="B4" t="n">
        <v>6.4e+23</v>
      </c>
      <c r="C4">
        <f>B4/6E+24</f>
        <v/>
      </c>
      <c r="F4" s="14" t="n"/>
      <c r="J4" s="2" t="n">
        <v>6e+24</v>
      </c>
    </row>
    <row r="5">
      <c r="A5" t="n">
        <v>668</v>
      </c>
      <c r="B5" t="n">
        <v>3.3e+23</v>
      </c>
      <c r="C5">
        <f>B5/6E+24</f>
        <v/>
      </c>
      <c r="D5" t="n">
        <v>7e+20</v>
      </c>
      <c r="E5" t="n">
        <v>33</v>
      </c>
      <c r="F5" s="14" t="inlineStr">
        <is>
          <t>23–33</t>
        </is>
      </c>
    </row>
    <row r="6">
      <c r="A6" t="n">
        <v>668</v>
      </c>
      <c r="B6" t="n">
        <v>6.4e+23</v>
      </c>
      <c r="C6">
        <f>B6/6E+24</f>
        <v/>
      </c>
      <c r="D6" t="n">
        <v>2e+20</v>
      </c>
      <c r="E6" t="n">
        <v>56</v>
      </c>
      <c r="F6" s="14" t="inlineStr">
        <is>
          <t>9–33</t>
        </is>
      </c>
    </row>
    <row r="7">
      <c r="A7" t="n">
        <v>668</v>
      </c>
      <c r="B7" t="n">
        <v>1.8e+24</v>
      </c>
      <c r="C7">
        <f>B7/6E+24</f>
        <v/>
      </c>
      <c r="D7" t="n">
        <v>2e+20</v>
      </c>
      <c r="E7" t="n">
        <v>62</v>
      </c>
      <c r="F7" s="14" t="inlineStr">
        <is>
          <t>37–55</t>
        </is>
      </c>
    </row>
    <row r="8">
      <c r="A8" t="n">
        <v>623</v>
      </c>
      <c r="B8" t="n">
        <v>2e+23</v>
      </c>
      <c r="C8">
        <f>B8/6E+24</f>
        <v/>
      </c>
      <c r="D8" t="n">
        <v>8e+20</v>
      </c>
      <c r="E8" t="n">
        <v>10</v>
      </c>
      <c r="F8" s="14" t="n"/>
    </row>
    <row r="9">
      <c r="A9" t="n">
        <v>623</v>
      </c>
      <c r="B9" t="n">
        <v>5.3e+23</v>
      </c>
      <c r="C9">
        <f>B9/6E+24</f>
        <v/>
      </c>
      <c r="D9" t="n">
        <v>2.7e+21</v>
      </c>
      <c r="E9" t="n">
        <v>23</v>
      </c>
      <c r="F9" s="14" t="inlineStr">
        <is>
          <t>47–63</t>
        </is>
      </c>
    </row>
    <row r="10">
      <c r="A10" t="n">
        <v>573</v>
      </c>
      <c r="B10" t="n">
        <v>3.8e+23</v>
      </c>
      <c r="C10">
        <f>B10/6E+24</f>
        <v/>
      </c>
      <c r="D10" t="n">
        <v>1.2e+22</v>
      </c>
      <c r="E10" t="n">
        <v>9</v>
      </c>
      <c r="F10" s="14" t="n"/>
    </row>
  </sheetData>
  <pageMargins left="0.7" right="0.7" top="0.75" bottom="0.75" header="0.3" footer="0.3"/>
  <pageSetup orientation="portrait" horizontalDpi="1200" verticalDpi="12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"/>
  <sheetViews>
    <sheetView zoomScale="70" zoomScaleNormal="70" workbookViewId="0">
      <selection activeCell="H17" sqref="H17"/>
    </sheetView>
  </sheetViews>
  <sheetFormatPr baseColWidth="10" defaultColWidth="8.83203125" defaultRowHeight="15"/>
  <cols>
    <col width="10.83203125" bestFit="1" customWidth="1" min="1" max="1"/>
    <col width="10" bestFit="1" customWidth="1" min="2" max="2"/>
    <col width="10.83203125" bestFit="1" customWidth="1" min="4" max="4"/>
    <col width="10" bestFit="1" customWidth="1" min="5" max="5"/>
    <col width="22" customWidth="1" min="18" max="18"/>
    <col width="21.6640625" customWidth="1" min="22" max="22"/>
  </cols>
  <sheetData>
    <row r="1">
      <c r="B1" t="inlineStr">
        <is>
          <t>2.167 dpa</t>
        </is>
      </c>
      <c r="E1" t="inlineStr">
        <is>
          <t>2 dpa</t>
        </is>
      </c>
      <c r="L1" t="inlineStr">
        <is>
          <t>0.2 dpa</t>
        </is>
      </c>
      <c r="O1" t="inlineStr">
        <is>
          <t>2 dpa</t>
        </is>
      </c>
    </row>
    <row r="3">
      <c r="A3" t="inlineStr">
        <is>
          <t>Temperature</t>
        </is>
      </c>
      <c r="B3" t="inlineStr">
        <is>
          <t>log(density)</t>
        </is>
      </c>
      <c r="D3" t="inlineStr">
        <is>
          <t>Temperature</t>
        </is>
      </c>
      <c r="E3" t="inlineStr">
        <is>
          <t>log(density)</t>
        </is>
      </c>
      <c r="K3" t="inlineStr">
        <is>
          <t>Temperature (°C)</t>
        </is>
      </c>
      <c r="L3" t="inlineStr">
        <is>
          <t>log(density)</t>
        </is>
      </c>
      <c r="N3" t="inlineStr">
        <is>
          <t>Temperature (°C)</t>
        </is>
      </c>
      <c r="O3" t="inlineStr">
        <is>
          <t>log(density)</t>
        </is>
      </c>
      <c r="R3" t="inlineStr">
        <is>
          <t>Temperature (°C)</t>
        </is>
      </c>
      <c r="S3" t="inlineStr">
        <is>
          <t>Density ($m^{-3}$</t>
        </is>
      </c>
      <c r="V3" t="inlineStr">
        <is>
          <t>Temperature (°C)</t>
        </is>
      </c>
      <c r="W3" t="inlineStr">
        <is>
          <t>Density ($m^{-3}$</t>
        </is>
      </c>
    </row>
    <row r="4">
      <c r="A4" t="n">
        <v>573</v>
      </c>
      <c r="B4">
        <f>LOG(5E+21)</f>
        <v/>
      </c>
      <c r="D4" t="n">
        <v>673</v>
      </c>
      <c r="E4">
        <f>LOG(280000000000000000000)</f>
        <v/>
      </c>
      <c r="K4" t="n">
        <v>573</v>
      </c>
      <c r="L4">
        <f>LOG10(S4)</f>
        <v/>
      </c>
      <c r="N4" t="n">
        <v>478</v>
      </c>
      <c r="O4">
        <f>LOG10(W4)</f>
        <v/>
      </c>
      <c r="R4" t="n">
        <v>573</v>
      </c>
      <c r="S4" s="2" t="n">
        <v>1.2e+22</v>
      </c>
      <c r="V4" t="n">
        <v>478</v>
      </c>
      <c r="W4" s="2" t="n">
        <v>6e+22</v>
      </c>
    </row>
    <row r="5">
      <c r="B5">
        <f>LOG(1.9E+21)</f>
        <v/>
      </c>
      <c r="E5">
        <f>LOG(500000000000000000000)</f>
        <v/>
      </c>
      <c r="K5" t="n">
        <v>623</v>
      </c>
      <c r="L5">
        <f>LOG10(S5)</f>
        <v/>
      </c>
      <c r="N5" t="n">
        <v>523</v>
      </c>
      <c r="O5">
        <f>LOG10(W5)</f>
        <v/>
      </c>
      <c r="R5" t="n">
        <v>623</v>
      </c>
      <c r="S5" s="2" t="n">
        <v>2.4e+21</v>
      </c>
      <c r="V5" t="n">
        <v>523</v>
      </c>
      <c r="W5" s="2" t="n">
        <v>3.2e+22</v>
      </c>
    </row>
    <row r="6">
      <c r="K6" t="n">
        <v>673</v>
      </c>
      <c r="L6">
        <f>LOG10(S6)</f>
        <v/>
      </c>
      <c r="N6" t="n">
        <v>573</v>
      </c>
      <c r="O6">
        <f>LOG10(W6)</f>
        <v/>
      </c>
      <c r="R6" t="n">
        <v>673</v>
      </c>
      <c r="S6" s="2" t="n">
        <v>2e+20</v>
      </c>
      <c r="V6" t="n">
        <v>573</v>
      </c>
      <c r="W6" s="2" t="n">
        <v>1.8e+22</v>
      </c>
    </row>
    <row r="7">
      <c r="N7" t="n">
        <v>623</v>
      </c>
      <c r="O7">
        <f>LOG10(W7)</f>
        <v/>
      </c>
      <c r="V7" t="n">
        <v>623</v>
      </c>
      <c r="W7" s="2" t="n">
        <v>4.6e+21</v>
      </c>
    </row>
    <row r="8">
      <c r="N8" t="n">
        <v>673</v>
      </c>
      <c r="O8">
        <f>LOG10(W8)</f>
        <v/>
      </c>
      <c r="V8" t="n">
        <v>673</v>
      </c>
      <c r="W8" s="2" t="n">
        <v>1.4e+21</v>
      </c>
    </row>
    <row r="9">
      <c r="N9" t="n">
        <v>723</v>
      </c>
      <c r="O9">
        <f>LOG10(W9)</f>
        <v/>
      </c>
      <c r="V9" t="n">
        <v>723</v>
      </c>
      <c r="W9" s="2" t="n">
        <v>1.8e+20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D2" sqref="D2"/>
    </sheetView>
  </sheetViews>
  <sheetFormatPr baseColWidth="10" defaultRowHeight="15"/>
  <cols>
    <col width="15.6640625" customWidth="1" min="1" max="1"/>
    <col width="19.33203125" customWidth="1" min="2" max="2"/>
    <col width="12.83203125" customWidth="1" style="39" min="3" max="3"/>
    <col width="12.33203125" customWidth="1" min="4" max="4"/>
    <col width="12.83203125" customWidth="1" style="39" min="5" max="5"/>
    <col width="24" customWidth="1" min="6" max="6"/>
    <col width="16.83203125" customWidth="1" style="39" min="7" max="7"/>
    <col width="25.33203125" customWidth="1" min="8" max="8"/>
  </cols>
  <sheetData>
    <row r="1" ht="16" customHeight="1">
      <c r="A1" s="33" t="inlineStr">
        <is>
          <t>Material/Alloy</t>
        </is>
      </c>
      <c r="B1" s="34" t="inlineStr">
        <is>
          <t>Irradiation Source</t>
        </is>
      </c>
      <c r="C1" s="35" t="inlineStr">
        <is>
          <t>Dose (dpa)</t>
        </is>
      </c>
      <c r="D1" s="35" t="inlineStr">
        <is>
          <t>Temp. (K)</t>
        </is>
      </c>
      <c r="E1" s="35" t="inlineStr">
        <is>
          <t>Loop Type</t>
        </is>
      </c>
      <c r="F1" s="35" t="inlineStr">
        <is>
          <t>Number Density (m^-3)</t>
        </is>
      </c>
      <c r="G1" s="35" t="inlineStr">
        <is>
          <t>Mean Size (nm)</t>
        </is>
      </c>
      <c r="H1" s="36" t="inlineStr">
        <is>
          <t>Source</t>
        </is>
      </c>
    </row>
    <row r="2" ht="16" customHeight="1">
      <c r="A2" s="18" t="inlineStr">
        <is>
          <t>Zr</t>
        </is>
      </c>
      <c r="B2" s="19" t="inlineStr">
        <is>
          <t>Neutron</t>
        </is>
      </c>
      <c r="C2" s="20" t="n">
        <v>2.166666666666667</v>
      </c>
      <c r="D2" s="21" t="n">
        <v>573</v>
      </c>
      <c r="E2" s="21" t="inlineStr">
        <is>
          <t>&lt;a&gt;</t>
        </is>
      </c>
      <c r="F2" s="22" t="n">
        <v>5e+21</v>
      </c>
      <c r="G2" s="21" t="n">
        <v>18.6</v>
      </c>
      <c r="H2" s="31" t="inlineStr">
        <is>
          <t>Gilbert et al., 1979</t>
        </is>
      </c>
    </row>
    <row r="3" ht="16" customHeight="1">
      <c r="A3" s="23" t="inlineStr">
        <is>
          <t>Zr-2</t>
        </is>
      </c>
      <c r="B3" s="24" t="inlineStr">
        <is>
          <t>Neutron</t>
        </is>
      </c>
      <c r="C3" s="25" t="n">
        <v>2.166666666666667</v>
      </c>
      <c r="D3" s="26" t="n">
        <v>573</v>
      </c>
      <c r="E3" s="26" t="inlineStr">
        <is>
          <t>&lt;a&gt;</t>
        </is>
      </c>
      <c r="F3" s="27" t="n">
        <v>1.9e+22</v>
      </c>
      <c r="G3" s="26" t="n">
        <v>6.5</v>
      </c>
      <c r="H3" s="32" t="inlineStr">
        <is>
          <t>Gilbert et al., 1979</t>
        </is>
      </c>
    </row>
    <row r="4" ht="16" customHeight="1">
      <c r="A4" s="18" t="inlineStr">
        <is>
          <t>Zr-2</t>
        </is>
      </c>
      <c r="B4" s="19" t="inlineStr">
        <is>
          <t>Neutron</t>
        </is>
      </c>
      <c r="C4" s="20" t="n">
        <v>2</v>
      </c>
      <c r="D4" s="21" t="n">
        <v>673</v>
      </c>
      <c r="E4" s="21" t="inlineStr">
        <is>
          <t>&lt;a&gt;</t>
        </is>
      </c>
      <c r="F4" s="22" t="n">
        <v>2.8e+20</v>
      </c>
      <c r="G4" s="21" t="n">
        <v>60</v>
      </c>
      <c r="H4" s="31" t="inlineStr">
        <is>
          <t>Gilbert et al., 1979</t>
        </is>
      </c>
    </row>
    <row r="5" ht="16" customHeight="1">
      <c r="A5" s="23" t="inlineStr">
        <is>
          <t>Zr</t>
        </is>
      </c>
      <c r="B5" s="24" t="inlineStr">
        <is>
          <t>Neutron</t>
        </is>
      </c>
      <c r="C5" s="25" t="n">
        <v>2</v>
      </c>
      <c r="D5" s="26" t="n">
        <v>673</v>
      </c>
      <c r="E5" s="26" t="inlineStr">
        <is>
          <t>&lt;a&gt;</t>
        </is>
      </c>
      <c r="F5" s="27" t="n">
        <v>5e+20</v>
      </c>
      <c r="G5" s="26" t="n">
        <v>50</v>
      </c>
      <c r="H5" s="32" t="inlineStr">
        <is>
          <t>Gilbert et al., 1979</t>
        </is>
      </c>
    </row>
    <row r="6" ht="16" customHeight="1">
      <c r="A6" s="37" t="inlineStr">
        <is>
          <t>Zr-2.5</t>
        </is>
      </c>
      <c r="B6" s="37" t="inlineStr">
        <is>
          <t>Neutron</t>
        </is>
      </c>
      <c r="C6" s="25" t="n">
        <v>2</v>
      </c>
      <c r="D6" s="38" t="n">
        <v>673</v>
      </c>
      <c r="E6" s="38" t="inlineStr">
        <is>
          <t>&lt;a&gt;</t>
        </is>
      </c>
      <c r="F6" s="37" t="n"/>
      <c r="G6" s="38" t="n">
        <v>37</v>
      </c>
      <c r="H6" s="32" t="inlineStr">
        <is>
          <t>Gilbert et al., 1979</t>
        </is>
      </c>
    </row>
    <row r="7" ht="16" customHeight="1">
      <c r="A7" s="37" t="inlineStr">
        <is>
          <t>Zr-2.5</t>
        </is>
      </c>
      <c r="B7" s="37" t="inlineStr">
        <is>
          <t>Neutron</t>
        </is>
      </c>
      <c r="C7" s="25" t="n">
        <v>2.166666666666667</v>
      </c>
      <c r="D7" s="38" t="n">
        <v>573</v>
      </c>
      <c r="E7" s="38" t="inlineStr">
        <is>
          <t>&lt;a&gt;</t>
        </is>
      </c>
      <c r="F7" s="37" t="n"/>
      <c r="G7" s="38" t="n">
        <v>7</v>
      </c>
      <c r="H7" s="32" t="inlineStr">
        <is>
          <t>Gilbert et al., 1979</t>
        </is>
      </c>
    </row>
    <row r="8" ht="16" customHeight="1">
      <c r="A8" s="37" t="inlineStr">
        <is>
          <t>Zr-?</t>
        </is>
      </c>
      <c r="B8" s="37" t="inlineStr">
        <is>
          <t>Neutron</t>
        </is>
      </c>
      <c r="C8" s="57" t="n">
        <v>2</v>
      </c>
      <c r="D8" s="38" t="n">
        <v>478</v>
      </c>
      <c r="E8" s="38" t="n"/>
      <c r="F8" s="58" t="n">
        <v>6e+22</v>
      </c>
      <c r="G8" s="38" t="n"/>
      <c r="H8" s="32" t="inlineStr">
        <is>
          <t>Gilbert et al., 1979</t>
        </is>
      </c>
    </row>
    <row r="9" ht="16" customHeight="1">
      <c r="A9" s="37" t="inlineStr">
        <is>
          <t>Zr-?</t>
        </is>
      </c>
      <c r="B9" s="37" t="inlineStr">
        <is>
          <t>Neutron</t>
        </is>
      </c>
      <c r="C9" s="57" t="n">
        <v>2</v>
      </c>
      <c r="D9" s="38" t="n">
        <v>523</v>
      </c>
      <c r="E9" s="38" t="n"/>
      <c r="F9" s="58" t="n">
        <v>3.2e+22</v>
      </c>
      <c r="G9" s="38" t="n"/>
      <c r="H9" s="32" t="inlineStr">
        <is>
          <t>Gilbert et al., 1979</t>
        </is>
      </c>
    </row>
    <row r="10" ht="16" customHeight="1">
      <c r="A10" s="37" t="inlineStr">
        <is>
          <t>Zr-?</t>
        </is>
      </c>
      <c r="B10" s="37" t="inlineStr">
        <is>
          <t>Neutron</t>
        </is>
      </c>
      <c r="C10" s="57" t="n">
        <v>2</v>
      </c>
      <c r="D10" s="38" t="n">
        <v>573</v>
      </c>
      <c r="E10" s="38" t="n"/>
      <c r="F10" s="58" t="n">
        <v>1.8e+22</v>
      </c>
      <c r="G10" s="38" t="n"/>
      <c r="H10" s="32" t="inlineStr">
        <is>
          <t>Gilbert et al., 1979</t>
        </is>
      </c>
    </row>
    <row r="11" ht="16" customHeight="1">
      <c r="A11" s="37" t="inlineStr">
        <is>
          <t>Zr-?</t>
        </is>
      </c>
      <c r="B11" s="37" t="inlineStr">
        <is>
          <t>Neutron</t>
        </is>
      </c>
      <c r="C11" s="57" t="n">
        <v>2</v>
      </c>
      <c r="D11" s="38" t="n">
        <v>623</v>
      </c>
      <c r="E11" s="38" t="n"/>
      <c r="F11" s="58" t="n">
        <v>4.6e+21</v>
      </c>
      <c r="G11" s="38" t="n"/>
      <c r="H11" s="32" t="inlineStr">
        <is>
          <t>Gilbert et al., 1979</t>
        </is>
      </c>
    </row>
    <row r="12" ht="16" customHeight="1">
      <c r="A12" s="37" t="inlineStr">
        <is>
          <t>Zr-?</t>
        </is>
      </c>
      <c r="B12" s="37" t="inlineStr">
        <is>
          <t>Neutron</t>
        </is>
      </c>
      <c r="C12" s="57" t="n">
        <v>2</v>
      </c>
      <c r="D12" s="38" t="n">
        <v>673</v>
      </c>
      <c r="E12" s="38" t="n"/>
      <c r="F12" s="58" t="n">
        <v>1.4e+21</v>
      </c>
      <c r="G12" s="38" t="n"/>
      <c r="H12" s="32" t="inlineStr">
        <is>
          <t>Gilbert et al., 1979</t>
        </is>
      </c>
    </row>
    <row r="13" ht="16" customHeight="1">
      <c r="A13" s="37" t="inlineStr">
        <is>
          <t>Zr-?</t>
        </is>
      </c>
      <c r="B13" s="37" t="inlineStr">
        <is>
          <t>Neutron</t>
        </is>
      </c>
      <c r="C13" s="57" t="n">
        <v>2</v>
      </c>
      <c r="D13" s="38" t="n">
        <v>723</v>
      </c>
      <c r="E13" s="38" t="n"/>
      <c r="F13" s="58" t="n">
        <v>1.8e+20</v>
      </c>
      <c r="G13" s="38" t="n"/>
      <c r="H13" s="32" t="inlineStr">
        <is>
          <t>Gilbert et al., 1979</t>
        </is>
      </c>
    </row>
    <row r="14" ht="16" customHeight="1">
      <c r="A14" s="37" t="inlineStr">
        <is>
          <t>Zr-?</t>
        </is>
      </c>
      <c r="B14" s="37" t="inlineStr">
        <is>
          <t>Neutron</t>
        </is>
      </c>
      <c r="C14" s="38" t="n">
        <v>0.2</v>
      </c>
      <c r="D14" s="38" t="n">
        <v>573</v>
      </c>
      <c r="E14" s="38" t="n"/>
      <c r="F14" s="58" t="n">
        <v>1.2e+22</v>
      </c>
      <c r="G14" s="38" t="n"/>
      <c r="H14" s="32" t="inlineStr">
        <is>
          <t>Gilbert et al., 1979</t>
        </is>
      </c>
    </row>
    <row r="15" ht="16" customHeight="1">
      <c r="A15" s="37" t="inlineStr">
        <is>
          <t>Zr-?</t>
        </is>
      </c>
      <c r="B15" s="37" t="inlineStr">
        <is>
          <t>Neutron</t>
        </is>
      </c>
      <c r="C15" s="38" t="n">
        <v>0.2</v>
      </c>
      <c r="D15" s="38" t="n">
        <v>623</v>
      </c>
      <c r="E15" s="38" t="n"/>
      <c r="F15" s="58" t="n">
        <v>2.4e+21</v>
      </c>
      <c r="G15" s="38" t="n"/>
      <c r="H15" s="32" t="inlineStr">
        <is>
          <t>Gilbert et al., 1979</t>
        </is>
      </c>
    </row>
    <row r="16" ht="16" customHeight="1">
      <c r="A16" s="37" t="inlineStr">
        <is>
          <t>Zr-?</t>
        </is>
      </c>
      <c r="B16" s="37" t="inlineStr">
        <is>
          <t>Neutron</t>
        </is>
      </c>
      <c r="C16" s="38" t="n">
        <v>0.2</v>
      </c>
      <c r="D16" s="38" t="n">
        <v>673</v>
      </c>
      <c r="E16" s="38" t="n"/>
      <c r="F16" s="58" t="n">
        <v>2e+20</v>
      </c>
      <c r="G16" s="38" t="n"/>
      <c r="H16" s="32" t="inlineStr">
        <is>
          <t>Gilbert et al., 1979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A1:H20"/>
  <sheetViews>
    <sheetView workbookViewId="0">
      <selection activeCell="D5" sqref="D5:D18"/>
    </sheetView>
  </sheetViews>
  <sheetFormatPr baseColWidth="10" defaultRowHeight="15"/>
  <cols>
    <col width="13.33203125" bestFit="1" customWidth="1" min="1" max="1"/>
    <col width="17.1640625" bestFit="1" customWidth="1" min="2" max="2"/>
    <col width="10.5" bestFit="1" customWidth="1" min="3" max="3"/>
    <col width="10" bestFit="1" customWidth="1" min="4" max="4"/>
    <col width="10.5" bestFit="1" customWidth="1" min="5" max="5"/>
    <col width="22" bestFit="1" customWidth="1" min="6" max="6"/>
    <col width="14.5" bestFit="1" customWidth="1" min="7" max="7"/>
    <col width="24.1640625" customWidth="1" min="8" max="8"/>
  </cols>
  <sheetData>
    <row r="1" ht="16" customHeight="1">
      <c r="A1" s="15" t="inlineStr">
        <is>
          <t>Material/Alloy</t>
        </is>
      </c>
      <c r="B1" s="16" t="inlineStr">
        <is>
          <t>Irradiation Source</t>
        </is>
      </c>
      <c r="C1" s="17" t="inlineStr">
        <is>
          <t>Dose (dpa)</t>
        </is>
      </c>
      <c r="D1" s="17" t="inlineStr">
        <is>
          <t>Temp. (K)</t>
        </is>
      </c>
      <c r="E1" s="17" t="inlineStr">
        <is>
          <t>Loop Type</t>
        </is>
      </c>
      <c r="F1" s="17" t="inlineStr">
        <is>
          <t>Number Density (m^-3)</t>
        </is>
      </c>
      <c r="G1" s="17" t="inlineStr">
        <is>
          <t>Mean Size (nm)</t>
        </is>
      </c>
      <c r="H1" s="15" t="inlineStr">
        <is>
          <t>Source</t>
        </is>
      </c>
    </row>
    <row r="2" hidden="1" ht="16" customHeight="1">
      <c r="A2" s="18" t="inlineStr">
        <is>
          <t>Zr-2</t>
        </is>
      </c>
      <c r="B2" s="19" t="inlineStr">
        <is>
          <t>Neutron</t>
        </is>
      </c>
      <c r="C2" s="28" t="n">
        <v>0.5666666666666667</v>
      </c>
      <c r="D2" s="21" t="n">
        <v>650</v>
      </c>
      <c r="E2" s="21" t="inlineStr">
        <is>
          <t>&lt;a&gt;</t>
        </is>
      </c>
      <c r="F2" s="22" t="n">
        <v>1.45e+22</v>
      </c>
      <c r="G2" s="21" t="n">
        <v>2.93</v>
      </c>
      <c r="H2" s="19" t="inlineStr">
        <is>
          <t>Cockeram, 2014</t>
        </is>
      </c>
    </row>
    <row r="3" hidden="1" ht="16" customHeight="1">
      <c r="A3" s="23" t="inlineStr">
        <is>
          <t>Zr-2</t>
        </is>
      </c>
      <c r="B3" s="24" t="inlineStr">
        <is>
          <t>Neutron</t>
        </is>
      </c>
      <c r="C3" s="29" t="n">
        <v>0.9166666666666667</v>
      </c>
      <c r="D3" s="26" t="n">
        <v>660</v>
      </c>
      <c r="E3" s="26" t="inlineStr">
        <is>
          <t>&lt;a&gt;</t>
        </is>
      </c>
      <c r="F3" s="27" t="n">
        <v>1.67e+22</v>
      </c>
      <c r="G3" s="26" t="n">
        <v>4.42</v>
      </c>
      <c r="H3" s="24" t="inlineStr">
        <is>
          <t>Cockeram, 2014</t>
        </is>
      </c>
    </row>
    <row r="4" hidden="1" ht="16" customHeight="1">
      <c r="A4" s="19" t="inlineStr">
        <is>
          <t>Zr-4</t>
        </is>
      </c>
      <c r="B4" s="19" t="inlineStr">
        <is>
          <t>Neutron</t>
        </is>
      </c>
      <c r="C4" s="28" t="n">
        <v>1.35</v>
      </c>
      <c r="D4" s="21" t="n">
        <v>673</v>
      </c>
      <c r="E4" s="21" t="inlineStr">
        <is>
          <t>&lt;a&gt;</t>
        </is>
      </c>
      <c r="F4" s="22" t="n">
        <v>1.63e+22</v>
      </c>
      <c r="G4" s="21" t="n">
        <v>3.92</v>
      </c>
      <c r="H4" s="19" t="inlineStr">
        <is>
          <t>Cockeram, 2014</t>
        </is>
      </c>
    </row>
    <row r="5" ht="16" customHeight="1">
      <c r="A5" s="23" t="inlineStr">
        <is>
          <t>Zr-2</t>
        </is>
      </c>
      <c r="B5" s="24" t="inlineStr">
        <is>
          <t>Neutron</t>
        </is>
      </c>
      <c r="C5" s="29" t="n">
        <v>5</v>
      </c>
      <c r="D5" s="26" t="n">
        <v>675</v>
      </c>
      <c r="E5" s="26" t="inlineStr">
        <is>
          <t>&lt;c&gt;</t>
        </is>
      </c>
      <c r="F5" s="27" t="n">
        <v>2.36e+19</v>
      </c>
      <c r="G5" s="26" t="n">
        <v>137.4</v>
      </c>
      <c r="H5" s="24" t="inlineStr">
        <is>
          <t>Cockeram, 2014</t>
        </is>
      </c>
    </row>
    <row r="6" hidden="1" ht="16" customHeight="1">
      <c r="A6" s="43" t="inlineStr">
        <is>
          <t>Zr-2</t>
        </is>
      </c>
      <c r="B6" s="44" t="inlineStr">
        <is>
          <t>Neutron</t>
        </is>
      </c>
      <c r="C6" s="45" t="n">
        <v>5</v>
      </c>
      <c r="D6" s="46" t="n">
        <v>675</v>
      </c>
      <c r="E6" s="46" t="inlineStr">
        <is>
          <t>&lt;a&gt;</t>
        </is>
      </c>
      <c r="F6" s="47" t="n">
        <v>1.3e+22</v>
      </c>
      <c r="G6" s="46" t="n">
        <v>5.24</v>
      </c>
      <c r="H6" s="44" t="inlineStr">
        <is>
          <t>Cockeram, 2014</t>
        </is>
      </c>
    </row>
    <row r="7" hidden="1" ht="16" customHeight="1">
      <c r="A7" s="23" t="inlineStr">
        <is>
          <t>Zr-2</t>
        </is>
      </c>
      <c r="B7" s="24" t="inlineStr">
        <is>
          <t>Neutron</t>
        </is>
      </c>
      <c r="C7" s="29" t="n">
        <v>5</v>
      </c>
      <c r="D7" s="26" t="n">
        <v>675</v>
      </c>
      <c r="E7" s="26" t="inlineStr">
        <is>
          <t>&lt;a&gt;</t>
        </is>
      </c>
      <c r="F7" s="27" t="n">
        <v>1.87e+22</v>
      </c>
      <c r="G7" s="26" t="n">
        <v>4.7</v>
      </c>
      <c r="H7" s="24" t="inlineStr">
        <is>
          <t>Cockeram, 2014</t>
        </is>
      </c>
    </row>
    <row r="8" ht="16" customHeight="1">
      <c r="A8" s="18" t="inlineStr">
        <is>
          <t>Zr-2</t>
        </is>
      </c>
      <c r="B8" s="19" t="inlineStr">
        <is>
          <t>Neutron</t>
        </is>
      </c>
      <c r="C8" s="28" t="n">
        <v>1.833333333333333</v>
      </c>
      <c r="D8" s="21" t="n">
        <v>680</v>
      </c>
      <c r="E8" s="21" t="inlineStr">
        <is>
          <t>&lt;c&gt;</t>
        </is>
      </c>
      <c r="F8" s="22" t="n">
        <v>8.4e+18</v>
      </c>
      <c r="G8" s="21" t="n">
        <v>111.2</v>
      </c>
      <c r="H8" s="19" t="inlineStr">
        <is>
          <t>Cockeram, 2014</t>
        </is>
      </c>
    </row>
    <row r="9" hidden="1" ht="16" customHeight="1">
      <c r="A9" s="23" t="inlineStr">
        <is>
          <t>Zr-2</t>
        </is>
      </c>
      <c r="B9" s="24" t="inlineStr">
        <is>
          <t>Neutron</t>
        </is>
      </c>
      <c r="C9" s="29" t="n">
        <v>1.833333333333333</v>
      </c>
      <c r="D9" s="26" t="n">
        <v>680</v>
      </c>
      <c r="E9" s="26" t="inlineStr">
        <is>
          <t>&lt;a&gt;</t>
        </is>
      </c>
      <c r="F9" s="27" t="n">
        <v>7.329999999999999e+21</v>
      </c>
      <c r="G9" s="26" t="n">
        <v>6.77</v>
      </c>
      <c r="H9" s="24" t="inlineStr">
        <is>
          <t>Cockeram, 2014</t>
        </is>
      </c>
    </row>
    <row r="10" hidden="1" ht="16" customHeight="1">
      <c r="A10" s="18" t="inlineStr">
        <is>
          <t>Zr-2</t>
        </is>
      </c>
      <c r="B10" s="19" t="inlineStr">
        <is>
          <t>Neutron</t>
        </is>
      </c>
      <c r="C10" s="28" t="n">
        <v>1.833333333333333</v>
      </c>
      <c r="D10" s="21" t="n">
        <v>680</v>
      </c>
      <c r="E10" s="21" t="inlineStr">
        <is>
          <t>&lt;a&gt;</t>
        </is>
      </c>
      <c r="F10" s="22" t="n">
        <v>6.969999999999999e+21</v>
      </c>
      <c r="G10" s="21" t="n">
        <v>5.15</v>
      </c>
      <c r="H10" s="19" t="inlineStr">
        <is>
          <t>Cockeram, 2014</t>
        </is>
      </c>
    </row>
    <row r="11" ht="16" customHeight="1">
      <c r="A11" s="23" t="inlineStr">
        <is>
          <t>Zr-2</t>
        </is>
      </c>
      <c r="B11" s="24" t="inlineStr">
        <is>
          <t>Neutron</t>
        </is>
      </c>
      <c r="C11" s="29" t="n">
        <v>5.166666666666666</v>
      </c>
      <c r="D11" s="26" t="n">
        <v>683</v>
      </c>
      <c r="E11" s="26" t="inlineStr">
        <is>
          <t>&lt;c&gt;</t>
        </is>
      </c>
      <c r="F11" s="27" t="n">
        <v>1.29e+19</v>
      </c>
      <c r="G11" s="26" t="n">
        <v>124.3</v>
      </c>
      <c r="H11" s="24" t="inlineStr">
        <is>
          <t>Cockeram, 2014</t>
        </is>
      </c>
    </row>
    <row r="12" ht="16" customHeight="1">
      <c r="A12" s="18" t="inlineStr">
        <is>
          <t>Zr-4</t>
        </is>
      </c>
      <c r="B12" s="19" t="inlineStr">
        <is>
          <t>Neutron</t>
        </is>
      </c>
      <c r="C12" s="28" t="n">
        <v>5.166666666666666</v>
      </c>
      <c r="D12" s="21" t="n">
        <v>683</v>
      </c>
      <c r="E12" s="21" t="inlineStr">
        <is>
          <t>&lt;c&gt;</t>
        </is>
      </c>
      <c r="F12" s="22" t="n">
        <v>2.21e+19</v>
      </c>
      <c r="G12" s="21" t="n">
        <v>110.4</v>
      </c>
      <c r="H12" s="19" t="inlineStr">
        <is>
          <t>Cockeram, 2014</t>
        </is>
      </c>
    </row>
    <row r="13" ht="16" customHeight="1">
      <c r="A13" s="23" t="inlineStr">
        <is>
          <t>Zr-2</t>
        </is>
      </c>
      <c r="B13" s="24" t="inlineStr">
        <is>
          <t>Neutron</t>
        </is>
      </c>
      <c r="C13" s="29" t="n">
        <v>5.166666666666666</v>
      </c>
      <c r="D13" s="26" t="n">
        <v>683</v>
      </c>
      <c r="E13" s="26" t="inlineStr">
        <is>
          <t>&lt;c&gt;</t>
        </is>
      </c>
      <c r="F13" s="27" t="n">
        <v>2.74e+18</v>
      </c>
      <c r="G13" s="26" t="n">
        <v>106</v>
      </c>
      <c r="H13" s="24" t="inlineStr">
        <is>
          <t>Cockeram, 2014</t>
        </is>
      </c>
    </row>
    <row r="14" hidden="1" ht="16" customHeight="1">
      <c r="A14" s="18" t="inlineStr">
        <is>
          <t>Zr-2</t>
        </is>
      </c>
      <c r="B14" s="19" t="inlineStr">
        <is>
          <t>Neutron</t>
        </is>
      </c>
      <c r="C14" s="28" t="n">
        <v>5.166666666666666</v>
      </c>
      <c r="D14" s="21" t="n">
        <v>683</v>
      </c>
      <c r="E14" s="21" t="inlineStr">
        <is>
          <t>&lt;a&gt;</t>
        </is>
      </c>
      <c r="F14" s="22" t="n">
        <v>1.5e+22</v>
      </c>
      <c r="G14" s="21" t="n">
        <v>4.53</v>
      </c>
      <c r="H14" s="19" t="inlineStr">
        <is>
          <t>Cockeram, 2014</t>
        </is>
      </c>
    </row>
    <row r="15" hidden="1" ht="16" customHeight="1">
      <c r="A15" s="23" t="inlineStr">
        <is>
          <t>Zr-4</t>
        </is>
      </c>
      <c r="B15" s="24" t="inlineStr">
        <is>
          <t>Neutron</t>
        </is>
      </c>
      <c r="C15" s="29" t="n">
        <v>5.17</v>
      </c>
      <c r="D15" s="26" t="n">
        <v>683</v>
      </c>
      <c r="E15" s="26" t="inlineStr">
        <is>
          <t>&lt;a&gt;</t>
        </is>
      </c>
      <c r="F15" s="27" t="n">
        <v>1.09e+22</v>
      </c>
      <c r="G15" s="26" t="n">
        <v>4.5</v>
      </c>
      <c r="H15" s="24" t="inlineStr">
        <is>
          <t>Cockeram, 2014</t>
        </is>
      </c>
    </row>
    <row r="16" hidden="1" ht="16" customHeight="1">
      <c r="A16" s="18" t="inlineStr">
        <is>
          <t>Zr-2</t>
        </is>
      </c>
      <c r="B16" s="19" t="inlineStr">
        <is>
          <t>Neutron</t>
        </is>
      </c>
      <c r="C16" s="28" t="n">
        <v>5.166666666666666</v>
      </c>
      <c r="D16" s="21" t="n">
        <v>683</v>
      </c>
      <c r="E16" s="21" t="inlineStr">
        <is>
          <t>&lt;a&gt;</t>
        </is>
      </c>
      <c r="F16" s="22" t="n">
        <v>1.95e+22</v>
      </c>
      <c r="G16" s="21" t="n">
        <v>3.96</v>
      </c>
      <c r="H16" s="19" t="inlineStr">
        <is>
          <t>Cockeram, 2014</t>
        </is>
      </c>
    </row>
    <row r="17" ht="16" customHeight="1">
      <c r="A17" s="23" t="inlineStr">
        <is>
          <t>Zr-2</t>
        </is>
      </c>
      <c r="B17" s="24" t="inlineStr">
        <is>
          <t>Neutron</t>
        </is>
      </c>
      <c r="C17" s="29" t="n">
        <v>2.666666666666667</v>
      </c>
      <c r="D17" s="26" t="n">
        <v>694</v>
      </c>
      <c r="E17" s="26" t="inlineStr">
        <is>
          <t>&lt;c&gt;</t>
        </is>
      </c>
      <c r="F17" s="27" t="n">
        <v>3.32e+18</v>
      </c>
      <c r="G17" s="26" t="n">
        <v>135.2</v>
      </c>
      <c r="H17" s="24" t="inlineStr">
        <is>
          <t>Cockeram, 2014</t>
        </is>
      </c>
    </row>
    <row r="18" ht="16" customHeight="1">
      <c r="A18" s="18" t="inlineStr">
        <is>
          <t>Zr-2</t>
        </is>
      </c>
      <c r="B18" s="19" t="inlineStr">
        <is>
          <t>Neutron</t>
        </is>
      </c>
      <c r="C18" s="28" t="n">
        <v>2.666666666666667</v>
      </c>
      <c r="D18" s="21" t="n">
        <v>694</v>
      </c>
      <c r="E18" s="21" t="inlineStr">
        <is>
          <t>&lt;c&gt;</t>
        </is>
      </c>
      <c r="F18" s="22" t="n">
        <v>4.43e+18</v>
      </c>
      <c r="G18" s="21" t="n">
        <v>115.3</v>
      </c>
      <c r="H18" s="19" t="inlineStr">
        <is>
          <t>Cockeram, 2014</t>
        </is>
      </c>
    </row>
    <row r="19" hidden="1" ht="16" customHeight="1">
      <c r="A19" s="23" t="inlineStr">
        <is>
          <t>Zr-2</t>
        </is>
      </c>
      <c r="B19" s="24" t="inlineStr">
        <is>
          <t>Neutron</t>
        </is>
      </c>
      <c r="C19" s="29" t="n">
        <v>2.666666666666667</v>
      </c>
      <c r="D19" s="26" t="n">
        <v>694</v>
      </c>
      <c r="E19" s="26" t="inlineStr">
        <is>
          <t>&lt;a&gt;</t>
        </is>
      </c>
      <c r="F19" s="27" t="n">
        <v>8.070000000000001e+21</v>
      </c>
      <c r="G19" s="26" t="n">
        <v>6.39</v>
      </c>
      <c r="H19" s="24" t="inlineStr">
        <is>
          <t>Cockeram, 2014</t>
        </is>
      </c>
    </row>
    <row r="20" hidden="1" ht="16" customHeight="1">
      <c r="A20" s="18" t="inlineStr">
        <is>
          <t>Zr-2</t>
        </is>
      </c>
      <c r="B20" s="19" t="inlineStr">
        <is>
          <t>Neutron</t>
        </is>
      </c>
      <c r="C20" s="28" t="n">
        <v>2.666666666666667</v>
      </c>
      <c r="D20" s="21" t="n">
        <v>694</v>
      </c>
      <c r="E20" s="21" t="inlineStr">
        <is>
          <t>&lt;a&gt;</t>
        </is>
      </c>
      <c r="F20" s="22" t="n">
        <v>5.630000000000001e+21</v>
      </c>
      <c r="G20" s="21" t="n">
        <v>6.38</v>
      </c>
      <c r="H20" s="19" t="inlineStr">
        <is>
          <t>Cockeram, 2014</t>
        </is>
      </c>
    </row>
  </sheetData>
  <autoFilter ref="A1:H20">
    <filterColumn colId="4" hiddenButton="0" showButton="1">
      <filters>
        <filter val="&lt;c&gt;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O35" sqref="O35"/>
    </sheetView>
  </sheetViews>
  <sheetFormatPr baseColWidth="10" defaultRowHeight="15"/>
  <cols>
    <col width="13.33203125" bestFit="1" customWidth="1" min="1" max="1"/>
    <col width="17.1640625" bestFit="1" customWidth="1" min="2" max="2"/>
    <col width="10.5" bestFit="1" customWidth="1" min="3" max="3"/>
    <col width="10" bestFit="1" customWidth="1" min="4" max="4"/>
    <col width="10.5" bestFit="1" customWidth="1" min="5" max="5"/>
    <col width="22" bestFit="1" customWidth="1" min="6" max="6"/>
    <col width="14.5" bestFit="1" customWidth="1" min="7" max="7"/>
    <col width="23.83203125" customWidth="1" min="8" max="8"/>
  </cols>
  <sheetData>
    <row r="1" ht="16" customHeight="1">
      <c r="A1" s="15" t="inlineStr">
        <is>
          <t>Material/Alloy</t>
        </is>
      </c>
      <c r="B1" s="16" t="inlineStr">
        <is>
          <t>Irradiation Source</t>
        </is>
      </c>
      <c r="C1" s="17" t="inlineStr">
        <is>
          <t>Dose (dpa)</t>
        </is>
      </c>
      <c r="D1" s="17" t="inlineStr">
        <is>
          <t>Temp. (K)</t>
        </is>
      </c>
      <c r="E1" s="17" t="inlineStr">
        <is>
          <t>Loop Type</t>
        </is>
      </c>
      <c r="F1" s="17" t="inlineStr">
        <is>
          <t>Number Density (m^-3)</t>
        </is>
      </c>
      <c r="G1" s="17" t="inlineStr">
        <is>
          <t>Mean Size (nm)</t>
        </is>
      </c>
      <c r="H1" s="15" t="inlineStr">
        <is>
          <t>Source</t>
        </is>
      </c>
    </row>
    <row r="2" ht="16" customHeight="1">
      <c r="A2" s="18" t="inlineStr">
        <is>
          <t>Zr-4</t>
        </is>
      </c>
      <c r="B2" s="19" t="inlineStr">
        <is>
          <t>Neutron</t>
        </is>
      </c>
      <c r="C2" s="21" t="n">
        <v>14</v>
      </c>
      <c r="D2" s="21" t="n">
        <v>583</v>
      </c>
      <c r="E2" s="21" t="inlineStr">
        <is>
          <t>&lt;c&gt;</t>
        </is>
      </c>
      <c r="F2" s="22" t="n">
        <v>1.2e+21</v>
      </c>
      <c r="G2" s="21" t="n">
        <v>150</v>
      </c>
      <c r="H2" s="19" t="inlineStr">
        <is>
          <t>Tournadre et al., 2012</t>
        </is>
      </c>
    </row>
    <row r="3" ht="16" customHeight="1">
      <c r="A3" s="23" t="inlineStr">
        <is>
          <t>Zr-4</t>
        </is>
      </c>
      <c r="B3" s="24" t="inlineStr">
        <is>
          <t>Neutron</t>
        </is>
      </c>
      <c r="C3" s="26" t="n">
        <v>35</v>
      </c>
      <c r="D3" s="26" t="n">
        <v>583</v>
      </c>
      <c r="E3" s="26" t="inlineStr">
        <is>
          <t>&lt;c&gt;</t>
        </is>
      </c>
      <c r="F3" s="27" t="n">
        <v>1.17e+21</v>
      </c>
      <c r="G3" s="26" t="n">
        <v>150</v>
      </c>
      <c r="H3" s="24" t="inlineStr">
        <is>
          <t>Tournadre et al., 2012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D6" sqref="D6"/>
    </sheetView>
  </sheetViews>
  <sheetFormatPr baseColWidth="10" defaultColWidth="10.6640625" defaultRowHeight="15"/>
  <cols>
    <col width="13.33203125" bestFit="1" customWidth="1" min="1" max="1"/>
    <col width="17.1640625" bestFit="1" customWidth="1" min="2" max="2"/>
    <col width="12.5" customWidth="1" min="3" max="3"/>
    <col width="10" bestFit="1" customWidth="1" min="4" max="4"/>
    <col width="10.5" bestFit="1" customWidth="1" min="5" max="5"/>
    <col width="22" bestFit="1" customWidth="1" min="6" max="6"/>
    <col width="14.5" bestFit="1" customWidth="1" min="7" max="7"/>
    <col width="30.33203125" customWidth="1" min="8" max="8"/>
  </cols>
  <sheetData>
    <row r="1" ht="16" customHeight="1">
      <c r="A1" s="15" t="inlineStr">
        <is>
          <t>Material/Alloy</t>
        </is>
      </c>
      <c r="B1" s="16" t="inlineStr">
        <is>
          <t>Irradiation Source</t>
        </is>
      </c>
      <c r="C1" s="17" t="inlineStr">
        <is>
          <t>Dose (dpa)</t>
        </is>
      </c>
      <c r="D1" s="17" t="inlineStr">
        <is>
          <t>Temp. (K)</t>
        </is>
      </c>
      <c r="E1" s="17" t="inlineStr">
        <is>
          <t>Loop Type</t>
        </is>
      </c>
      <c r="F1" s="17" t="inlineStr">
        <is>
          <t>Number Density (m^-3)</t>
        </is>
      </c>
      <c r="G1" s="17" t="inlineStr">
        <is>
          <t>Mean Size (nm)</t>
        </is>
      </c>
      <c r="H1" s="15" t="inlineStr">
        <is>
          <t>Source</t>
        </is>
      </c>
    </row>
    <row r="2" ht="16" customHeight="1">
      <c r="A2" s="18" t="inlineStr">
        <is>
          <t>Zr-2</t>
        </is>
      </c>
      <c r="B2" s="19" t="inlineStr">
        <is>
          <t>Neutron</t>
        </is>
      </c>
      <c r="C2" s="21" t="n">
        <v>23</v>
      </c>
      <c r="D2" s="21" t="n">
        <v>600</v>
      </c>
      <c r="E2" s="21" t="inlineStr">
        <is>
          <t>&lt;a&gt;</t>
        </is>
      </c>
      <c r="F2" s="22" t="n">
        <v>5.1e+22</v>
      </c>
      <c r="G2" s="21" t="n">
        <v>10.7</v>
      </c>
      <c r="H2" s="19" t="inlineStr">
        <is>
          <t>Kobylyansky et al., 2008</t>
        </is>
      </c>
    </row>
    <row r="3" ht="16" customHeight="1">
      <c r="A3" s="23" t="inlineStr">
        <is>
          <t>Zr-2</t>
        </is>
      </c>
      <c r="B3" s="24" t="inlineStr">
        <is>
          <t>Neutron</t>
        </is>
      </c>
      <c r="C3" s="26" t="n">
        <v>12</v>
      </c>
      <c r="D3" s="26" t="n">
        <v>600</v>
      </c>
      <c r="E3" s="26" t="inlineStr">
        <is>
          <t>&lt;a&gt;</t>
        </is>
      </c>
      <c r="F3" s="27" t="n">
        <v>4.9e+22</v>
      </c>
      <c r="G3" s="26" t="n">
        <v>10.5</v>
      </c>
      <c r="H3" s="24" t="inlineStr">
        <is>
          <t>Kobylyansky et al., 2008</t>
        </is>
      </c>
    </row>
    <row r="4" ht="16" customHeight="1">
      <c r="A4" s="18" t="inlineStr">
        <is>
          <t>Zr-2</t>
        </is>
      </c>
      <c r="B4" s="19" t="inlineStr">
        <is>
          <t>Neutron</t>
        </is>
      </c>
      <c r="C4" s="21" t="n">
        <v>4.8</v>
      </c>
      <c r="D4" s="21" t="n">
        <v>600</v>
      </c>
      <c r="E4" s="21" t="inlineStr">
        <is>
          <t>&lt;a&gt;</t>
        </is>
      </c>
      <c r="F4" s="22" t="n">
        <v>4.3e+22</v>
      </c>
      <c r="G4" s="21" t="n">
        <v>10</v>
      </c>
      <c r="H4" s="19" t="inlineStr">
        <is>
          <t>Kobylyansky et al., 2008</t>
        </is>
      </c>
    </row>
    <row r="5" ht="16" customHeight="1">
      <c r="A5" s="23" t="inlineStr">
        <is>
          <t>E635</t>
        </is>
      </c>
      <c r="B5" s="24" t="inlineStr">
        <is>
          <t>Neutron</t>
        </is>
      </c>
      <c r="C5" s="26" t="n">
        <v>23</v>
      </c>
      <c r="D5" s="26" t="n">
        <v>600</v>
      </c>
      <c r="E5" s="26" t="inlineStr">
        <is>
          <t>&lt;a&gt;</t>
        </is>
      </c>
      <c r="F5" s="27" t="n">
        <v>7.4e+22</v>
      </c>
      <c r="G5" s="26" t="n">
        <v>7.3</v>
      </c>
      <c r="H5" s="24" t="inlineStr">
        <is>
          <t>Kobylyansky et al., 2008</t>
        </is>
      </c>
    </row>
    <row r="6" ht="16" customHeight="1">
      <c r="A6" s="18" t="inlineStr">
        <is>
          <t>NSF</t>
        </is>
      </c>
      <c r="B6" s="19" t="inlineStr">
        <is>
          <t>Neutron</t>
        </is>
      </c>
      <c r="C6" s="21" t="n">
        <v>23</v>
      </c>
      <c r="D6" s="21" t="n">
        <v>600</v>
      </c>
      <c r="E6" s="21" t="inlineStr">
        <is>
          <t>&lt;a&gt;</t>
        </is>
      </c>
      <c r="F6" s="22" t="n">
        <v>8.8e+22</v>
      </c>
      <c r="G6" s="21" t="n">
        <v>6.6</v>
      </c>
      <c r="H6" s="19" t="inlineStr">
        <is>
          <t>Kobylyansky et al., 2008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C32" sqref="C32"/>
    </sheetView>
  </sheetViews>
  <sheetFormatPr baseColWidth="10" defaultRowHeight="15"/>
  <cols>
    <col width="13.33203125" bestFit="1" customWidth="1" min="1" max="1"/>
    <col width="17.1640625" bestFit="1" customWidth="1" min="2" max="2"/>
    <col width="10.5" bestFit="1" customWidth="1" min="3" max="3"/>
    <col width="10" bestFit="1" customWidth="1" min="4" max="4"/>
    <col width="10.5" bestFit="1" customWidth="1" min="5" max="5"/>
    <col width="22" bestFit="1" customWidth="1" min="6" max="6"/>
    <col width="14.5" bestFit="1" customWidth="1" min="7" max="7"/>
    <col width="22.83203125" customWidth="1" min="8" max="8"/>
  </cols>
  <sheetData>
    <row r="1" ht="16" customHeight="1">
      <c r="A1" s="15" t="inlineStr">
        <is>
          <t>Material/Alloy</t>
        </is>
      </c>
      <c r="B1" s="16" t="inlineStr">
        <is>
          <t>Irradiation Source</t>
        </is>
      </c>
      <c r="C1" s="17" t="inlineStr">
        <is>
          <t>Dose (dpa)</t>
        </is>
      </c>
      <c r="D1" s="17" t="inlineStr">
        <is>
          <t>Temp. (K)</t>
        </is>
      </c>
      <c r="E1" s="17" t="inlineStr">
        <is>
          <t>Loop Type</t>
        </is>
      </c>
      <c r="F1" s="17" t="inlineStr">
        <is>
          <t>Number Density (m^-3)</t>
        </is>
      </c>
      <c r="G1" s="17" t="inlineStr">
        <is>
          <t>Mean Size (nm)</t>
        </is>
      </c>
      <c r="H1" s="15" t="inlineStr">
        <is>
          <t>Source</t>
        </is>
      </c>
    </row>
    <row r="2" ht="16" customHeight="1">
      <c r="A2" s="18" t="inlineStr">
        <is>
          <t>Zr-2</t>
        </is>
      </c>
      <c r="B2" s="19" t="inlineStr">
        <is>
          <t>Neutron</t>
        </is>
      </c>
      <c r="C2" s="21" t="n">
        <v>14.5</v>
      </c>
      <c r="D2" s="21" t="n">
        <v>573</v>
      </c>
      <c r="E2" s="21" t="inlineStr">
        <is>
          <t>&lt;c&gt;</t>
        </is>
      </c>
      <c r="F2" s="22" t="n">
        <v>3e+20</v>
      </c>
      <c r="G2" s="21" t="n">
        <v>120</v>
      </c>
      <c r="H2" s="19" t="inlineStr">
        <is>
          <t>Harte et al., 2017</t>
        </is>
      </c>
    </row>
    <row r="3" ht="16" customHeight="1">
      <c r="A3" s="23" t="inlineStr">
        <is>
          <t>Zr-2</t>
        </is>
      </c>
      <c r="B3" s="24" t="inlineStr">
        <is>
          <t>Neutron</t>
        </is>
      </c>
      <c r="C3" s="26" t="n">
        <v>15.8</v>
      </c>
      <c r="D3" s="26" t="n">
        <v>573</v>
      </c>
      <c r="E3" s="26" t="inlineStr">
        <is>
          <t>&lt;c&gt;</t>
        </is>
      </c>
      <c r="F3" s="27" t="n">
        <v>5.5e+20</v>
      </c>
      <c r="G3" s="26" t="n">
        <v>95</v>
      </c>
      <c r="H3" s="24" t="inlineStr">
        <is>
          <t>Harte et al., 2017</t>
        </is>
      </c>
    </row>
    <row r="4" ht="16" customHeight="1">
      <c r="A4" s="18" t="inlineStr">
        <is>
          <t>Zr-2</t>
        </is>
      </c>
      <c r="B4" s="19" t="inlineStr">
        <is>
          <t>Neutron</t>
        </is>
      </c>
      <c r="C4" s="21" t="n">
        <v>24.5</v>
      </c>
      <c r="D4" s="21" t="n">
        <v>573</v>
      </c>
      <c r="E4" s="21" t="inlineStr">
        <is>
          <t>&lt;c&gt;</t>
        </is>
      </c>
      <c r="F4" s="22" t="n">
        <v>8e+20</v>
      </c>
      <c r="G4" s="21" t="n">
        <v>95</v>
      </c>
      <c r="H4" s="19" t="inlineStr">
        <is>
          <t>Harte et al., 2017</t>
        </is>
      </c>
    </row>
    <row r="5" ht="16" customHeight="1">
      <c r="A5" s="23" t="inlineStr">
        <is>
          <t>Zr-2</t>
        </is>
      </c>
      <c r="B5" s="24" t="inlineStr">
        <is>
          <t>Neutron</t>
        </is>
      </c>
      <c r="C5" s="26" t="n">
        <v>14.5</v>
      </c>
      <c r="D5" s="26" t="n">
        <v>573</v>
      </c>
      <c r="E5" s="26" t="inlineStr">
        <is>
          <t>&lt;a&gt;</t>
        </is>
      </c>
      <c r="F5" s="27" t="n">
        <v>9.500000000000001e+21</v>
      </c>
      <c r="G5" s="26" t="n">
        <v>6</v>
      </c>
      <c r="H5" s="24" t="inlineStr">
        <is>
          <t>Harte et al., 2017</t>
        </is>
      </c>
    </row>
    <row r="6" ht="16" customHeight="1">
      <c r="A6" s="18" t="inlineStr">
        <is>
          <t>Zr-2</t>
        </is>
      </c>
      <c r="B6" s="19" t="inlineStr">
        <is>
          <t>Neutron</t>
        </is>
      </c>
      <c r="C6" s="21" t="n">
        <v>15.8</v>
      </c>
      <c r="D6" s="21" t="n">
        <v>573</v>
      </c>
      <c r="E6" s="21" t="inlineStr">
        <is>
          <t>&lt;a&gt;</t>
        </is>
      </c>
      <c r="F6" s="22" t="n">
        <v>1.5e+22</v>
      </c>
      <c r="G6" s="21" t="n">
        <v>4</v>
      </c>
      <c r="H6" s="19" t="inlineStr">
        <is>
          <t>Harte et al., 2017</t>
        </is>
      </c>
    </row>
    <row r="7" ht="16" customHeight="1">
      <c r="A7" s="23" t="inlineStr">
        <is>
          <t>Zr-2</t>
        </is>
      </c>
      <c r="B7" s="24" t="inlineStr">
        <is>
          <t>Neutron</t>
        </is>
      </c>
      <c r="C7" s="26" t="n">
        <v>24.5</v>
      </c>
      <c r="D7" s="26" t="n">
        <v>573</v>
      </c>
      <c r="E7" s="26" t="inlineStr">
        <is>
          <t>&lt;a&gt;</t>
        </is>
      </c>
      <c r="F7" s="27" t="n">
        <v>1.8e+22</v>
      </c>
      <c r="G7" s="26" t="n">
        <v>4</v>
      </c>
      <c r="H7" s="24" t="inlineStr">
        <is>
          <t>Harte et al., 2017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120" zoomScaleNormal="120" workbookViewId="0">
      <selection activeCell="J10" sqref="J10"/>
    </sheetView>
  </sheetViews>
  <sheetFormatPr baseColWidth="10" defaultColWidth="8.83203125" defaultRowHeight="15"/>
  <cols>
    <col width="14.33203125" bestFit="1" customWidth="1" min="1" max="1"/>
    <col width="11" bestFit="1" customWidth="1" min="5" max="5"/>
  </cols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nominal</t>
        </is>
      </c>
      <c r="E1" t="inlineStr">
        <is>
          <t>log_searched</t>
        </is>
      </c>
    </row>
    <row r="2">
      <c r="A2" t="inlineStr">
        <is>
          <t>delta_DAD_i_300</t>
        </is>
      </c>
      <c r="B2" t="n">
        <v>0.05</v>
      </c>
      <c r="C2" t="n">
        <v>0.45</v>
      </c>
      <c r="D2" t="n">
        <v>0.1533425651149617</v>
      </c>
      <c r="E2" t="b">
        <v>0</v>
      </c>
    </row>
    <row r="3">
      <c r="A3" t="inlineStr">
        <is>
          <t>delta_DAD_i_600</t>
        </is>
      </c>
      <c r="B3" t="n">
        <v>0.02</v>
      </c>
      <c r="C3" t="n">
        <v>0.3</v>
      </c>
      <c r="D3" t="n">
        <v>0.06407967585596405</v>
      </c>
      <c r="E3" t="b">
        <v>0</v>
      </c>
    </row>
    <row r="4">
      <c r="A4" t="inlineStr">
        <is>
          <t>Z_iL</t>
        </is>
      </c>
      <c r="B4" t="n">
        <v>1.01</v>
      </c>
      <c r="C4" t="n">
        <v>1.5</v>
      </c>
      <c r="D4" t="n">
        <v>1.344084053983376</v>
      </c>
      <c r="E4" t="b">
        <v>0</v>
      </c>
    </row>
    <row r="5">
      <c r="A5" t="inlineStr">
        <is>
          <t>c_LL_a</t>
        </is>
      </c>
      <c r="B5" t="n">
        <v>0.1</v>
      </c>
      <c r="C5" t="n">
        <v>1000</v>
      </c>
      <c r="D5" t="n">
        <v>120.5769851417577</v>
      </c>
      <c r="E5" t="b">
        <v>1</v>
      </c>
    </row>
    <row r="6">
      <c r="A6" t="inlineStr">
        <is>
          <t>c_LN_a</t>
        </is>
      </c>
      <c r="B6" t="n">
        <v>0.01</v>
      </c>
      <c r="C6" t="n">
        <v>10000</v>
      </c>
      <c r="D6" t="n">
        <v>1130.846256147223</v>
      </c>
      <c r="E6" t="b">
        <v>1</v>
      </c>
    </row>
    <row r="7">
      <c r="A7" t="inlineStr">
        <is>
          <t>epsilon_iL</t>
        </is>
      </c>
      <c r="B7" t="n">
        <v>0.001</v>
      </c>
      <c r="C7" t="n">
        <v>0.3</v>
      </c>
      <c r="D7" t="n">
        <v>0.002112861584544259</v>
      </c>
      <c r="E7" t="b">
        <v>1</v>
      </c>
    </row>
    <row r="8">
      <c r="A8" t="inlineStr">
        <is>
          <t>n_iL_nuc</t>
        </is>
      </c>
      <c r="B8" t="n">
        <v>5</v>
      </c>
      <c r="C8" t="n">
        <v>300</v>
      </c>
      <c r="D8" t="n">
        <v>300.0000000000001</v>
      </c>
      <c r="E8" t="b">
        <v>0</v>
      </c>
    </row>
    <row r="9">
      <c r="A9" t="inlineStr">
        <is>
          <t>epsilon_2i</t>
        </is>
      </c>
      <c r="B9" t="n">
        <v>0.0001</v>
      </c>
      <c r="C9" t="n">
        <v>0.01</v>
      </c>
      <c r="D9" t="n">
        <v>0.01</v>
      </c>
      <c r="E9" t="b">
        <v>1</v>
      </c>
    </row>
    <row r="10">
      <c r="A10" t="inlineStr">
        <is>
          <t>epsilon_3i</t>
        </is>
      </c>
      <c r="B10" t="n">
        <v>0.0001</v>
      </c>
      <c r="C10" t="n">
        <v>0.01</v>
      </c>
      <c r="D10" t="n">
        <v>0.01</v>
      </c>
      <c r="E10" t="b">
        <v>1</v>
      </c>
      <c r="G10" s="107" t="n"/>
    </row>
    <row r="11">
      <c r="A11" t="inlineStr">
        <is>
          <t>E_m_i</t>
        </is>
      </c>
      <c r="B11" t="n">
        <v>0.2</v>
      </c>
      <c r="C11" t="n">
        <v>2</v>
      </c>
      <c r="D11" t="n">
        <v>0.7591009449813918</v>
      </c>
      <c r="E11" t="b">
        <v>0</v>
      </c>
    </row>
    <row r="12">
      <c r="A12" t="inlineStr">
        <is>
          <t>E_m_2i</t>
        </is>
      </c>
      <c r="B12" t="n">
        <v>0.2</v>
      </c>
      <c r="C12" t="n">
        <v>2</v>
      </c>
      <c r="D12" t="n">
        <v>1.362922835803921</v>
      </c>
      <c r="E12" t="b">
        <v>0</v>
      </c>
    </row>
    <row r="13">
      <c r="A13" t="inlineStr">
        <is>
          <t>E_b_2i</t>
        </is>
      </c>
      <c r="B13" t="n">
        <v>0.2</v>
      </c>
      <c r="C13" t="n">
        <v>3</v>
      </c>
      <c r="D13" t="n">
        <v>0.9570327956958411</v>
      </c>
      <c r="E13" t="b">
        <v>0</v>
      </c>
    </row>
    <row r="14">
      <c r="A14" t="inlineStr">
        <is>
          <t>delta_DAD</t>
        </is>
      </c>
      <c r="B14" t="n">
        <v>0.005</v>
      </c>
      <c r="C14" t="n">
        <v>0.4</v>
      </c>
      <c r="D14" t="n">
        <v>0.1078856689068271</v>
      </c>
      <c r="E14" t="b">
        <v>1</v>
      </c>
    </row>
    <row r="15">
      <c r="A15" t="inlineStr">
        <is>
          <t>c_LL_c</t>
        </is>
      </c>
      <c r="B15" s="2" t="n">
        <v>0.01</v>
      </c>
      <c r="C15" s="2" t="n">
        <v>100</v>
      </c>
      <c r="D15" s="2" t="n">
        <v>0.1624833709326186</v>
      </c>
      <c r="E15" t="b">
        <v>1</v>
      </c>
    </row>
    <row r="16">
      <c r="A16" t="inlineStr">
        <is>
          <t>c_LN_c</t>
        </is>
      </c>
      <c r="B16" s="2" t="n">
        <v>0.01</v>
      </c>
      <c r="C16" s="2" t="n">
        <v>100</v>
      </c>
      <c r="D16" s="2" t="n">
        <v>2.958291304081887</v>
      </c>
      <c r="E16" t="b">
        <v>1</v>
      </c>
    </row>
    <row r="17">
      <c r="A17" t="inlineStr">
        <is>
          <t>epsilon_vL</t>
        </is>
      </c>
      <c r="B17" t="n">
        <v>0.005</v>
      </c>
      <c r="C17" t="n">
        <v>0.1</v>
      </c>
      <c r="D17" t="n">
        <v>0.004999999999999999</v>
      </c>
      <c r="E17" t="b">
        <v>1</v>
      </c>
    </row>
    <row r="18">
      <c r="A18" t="inlineStr">
        <is>
          <t>n_vL_nuc</t>
        </is>
      </c>
      <c r="B18" t="n">
        <v>5</v>
      </c>
      <c r="C18" t="n">
        <v>400</v>
      </c>
      <c r="D18" t="n">
        <v>400.0000000000001</v>
      </c>
      <c r="E18" t="b">
        <v>0</v>
      </c>
    </row>
    <row r="19">
      <c r="A19" t="inlineStr">
        <is>
          <t>E_a_vL</t>
        </is>
      </c>
      <c r="B19" t="n">
        <v>0.2</v>
      </c>
      <c r="C19" t="n">
        <v>0.8</v>
      </c>
      <c r="D19" t="n">
        <v>0.4700786174074628</v>
      </c>
      <c r="E19" t="b">
        <v>0</v>
      </c>
    </row>
    <row r="20">
      <c r="A20" t="inlineStr">
        <is>
          <t>tau_vL0</t>
        </is>
      </c>
      <c r="B20" t="n">
        <v>0.01</v>
      </c>
      <c r="C20" t="n">
        <v>5</v>
      </c>
      <c r="D20" t="n">
        <v>1.051449371390183</v>
      </c>
      <c r="E20" t="b">
        <v>1</v>
      </c>
    </row>
    <row r="21">
      <c r="A21" t="inlineStr">
        <is>
          <t>Q</t>
        </is>
      </c>
      <c r="B21" t="n">
        <v>0.1</v>
      </c>
      <c r="C21" t="n">
        <v>1</v>
      </c>
      <c r="D21" t="n">
        <v>0.2879311369908066</v>
      </c>
      <c r="E21" t="b">
        <v>0</v>
      </c>
    </row>
    <row r="22">
      <c r="A22" t="inlineStr">
        <is>
          <t>Z_N</t>
        </is>
      </c>
      <c r="B22" t="n">
        <v>1.01</v>
      </c>
      <c r="C22" t="n">
        <v>1.3</v>
      </c>
      <c r="D22" t="n">
        <v>1.01</v>
      </c>
      <c r="E22" t="b">
        <v>0</v>
      </c>
    </row>
    <row r="23">
      <c r="A23" t="inlineStr">
        <is>
          <t>c_rhoN</t>
        </is>
      </c>
      <c r="B23" t="n">
        <v>0.001</v>
      </c>
      <c r="C23" t="n">
        <v>1</v>
      </c>
      <c r="D23" t="n">
        <v>0.001</v>
      </c>
      <c r="E23" t="b">
        <v>1</v>
      </c>
    </row>
    <row r="24">
      <c r="A24" t="inlineStr">
        <is>
          <t>k_rhoN_rec</t>
        </is>
      </c>
      <c r="B24" t="n">
        <v>1e-09</v>
      </c>
      <c r="C24" t="n">
        <v>0.001</v>
      </c>
      <c r="D24" t="n">
        <v>3.477263704600559e-05</v>
      </c>
      <c r="E24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D34"/>
  <sheetViews>
    <sheetView zoomScaleNormal="100" workbookViewId="0">
      <selection activeCell="L16" sqref="L16"/>
    </sheetView>
  </sheetViews>
  <sheetFormatPr baseColWidth="10" defaultColWidth="8.83203125" defaultRowHeight="15"/>
  <cols>
    <col width="12" customWidth="1" min="3" max="3"/>
  </cols>
  <sheetData>
    <row r="2">
      <c r="A2" t="inlineStr">
        <is>
          <t>T (K)</t>
        </is>
      </c>
      <c r="B2" t="inlineStr">
        <is>
          <t>dpa</t>
        </is>
      </c>
      <c r="C2" t="inlineStr">
        <is>
          <t>N_L (1/m^3)</t>
        </is>
      </c>
      <c r="D2" t="inlineStr">
        <is>
          <t>d (nm)</t>
        </is>
      </c>
    </row>
    <row r="3">
      <c r="A3" t="n">
        <v>300</v>
      </c>
      <c r="C3" t="n">
        <v>1.2e+22</v>
      </c>
      <c r="D3" t="n">
        <v>9</v>
      </c>
    </row>
    <row r="4">
      <c r="A4" t="n">
        <v>300</v>
      </c>
      <c r="B4" t="n">
        <v>0.08333333333333333</v>
      </c>
      <c r="C4" t="n">
        <v>1e+22</v>
      </c>
      <c r="D4" t="n">
        <v>4.5</v>
      </c>
    </row>
    <row r="5">
      <c r="B5" t="n">
        <v>0.1333333333333333</v>
      </c>
      <c r="C5" t="n">
        <v>2.5e+22</v>
      </c>
      <c r="D5" t="n">
        <v>5.8</v>
      </c>
    </row>
    <row r="6">
      <c r="B6" t="n">
        <v>0.25</v>
      </c>
      <c r="C6" t="n">
        <v>3.6e+22</v>
      </c>
      <c r="D6" t="n">
        <v>7</v>
      </c>
    </row>
    <row r="7">
      <c r="B7" t="n">
        <v>0.3333333333333333</v>
      </c>
      <c r="C7" t="n">
        <v>3e+22</v>
      </c>
      <c r="D7" t="n">
        <v>6.4</v>
      </c>
    </row>
    <row r="8">
      <c r="B8" t="n">
        <v>0.006666666666666667</v>
      </c>
      <c r="C8" t="n">
        <v>2.8e+22</v>
      </c>
      <c r="D8" t="n">
        <v>6.6</v>
      </c>
    </row>
    <row r="9">
      <c r="B9" t="n">
        <v>0.015</v>
      </c>
      <c r="C9" t="n">
        <v>3e+22</v>
      </c>
      <c r="D9" t="n">
        <v>6.8</v>
      </c>
    </row>
    <row r="10">
      <c r="B10" t="n">
        <v>0.03333333333333333</v>
      </c>
      <c r="C10" t="n">
        <v>2.7e+22</v>
      </c>
      <c r="D10" t="n">
        <v>7.2</v>
      </c>
    </row>
    <row r="11">
      <c r="B11" t="n">
        <v>0.1333333333333333</v>
      </c>
      <c r="C11" t="n">
        <v>2.5e+22</v>
      </c>
      <c r="D11" t="n">
        <v>7</v>
      </c>
    </row>
    <row r="12">
      <c r="B12" t="n">
        <v>0.1666666666666667</v>
      </c>
      <c r="C12" t="n">
        <v>2.2e+22</v>
      </c>
      <c r="D12" t="n">
        <v>7.5</v>
      </c>
    </row>
    <row r="14">
      <c r="A14" t="n">
        <v>350</v>
      </c>
      <c r="B14" t="n">
        <v>1.666666666666667</v>
      </c>
      <c r="C14" t="n">
        <v>3e+22</v>
      </c>
      <c r="D14" t="n">
        <v>10</v>
      </c>
    </row>
    <row r="15">
      <c r="A15" t="n">
        <v>400</v>
      </c>
      <c r="B15" t="n">
        <v>1.666666666666667</v>
      </c>
      <c r="C15" t="n">
        <v>1e+22</v>
      </c>
      <c r="D15" t="n">
        <v>22</v>
      </c>
    </row>
    <row r="17">
      <c r="A17" t="n">
        <v>708</v>
      </c>
      <c r="B17" t="n">
        <v>0.1066666666666667</v>
      </c>
    </row>
    <row r="18">
      <c r="A18" t="n">
        <v>668</v>
      </c>
      <c r="B18" t="n">
        <v>0.05500000000000001</v>
      </c>
      <c r="C18" t="n">
        <v>7e+20</v>
      </c>
      <c r="D18" t="n">
        <v>33</v>
      </c>
    </row>
    <row r="19">
      <c r="A19" t="n">
        <v>668</v>
      </c>
      <c r="B19" t="n">
        <v>0.1066666666666667</v>
      </c>
      <c r="C19" t="n">
        <v>2e+20</v>
      </c>
      <c r="D19" t="n">
        <v>56</v>
      </c>
    </row>
    <row r="20">
      <c r="A20" t="n">
        <v>668</v>
      </c>
      <c r="B20" t="n">
        <v>0.3</v>
      </c>
      <c r="C20" t="n">
        <v>2e+20</v>
      </c>
      <c r="D20" t="n">
        <v>62</v>
      </c>
    </row>
    <row r="21">
      <c r="A21" t="n">
        <v>623</v>
      </c>
      <c r="B21" t="n">
        <v>0.03333333333333333</v>
      </c>
      <c r="C21" t="n">
        <v>8e+20</v>
      </c>
      <c r="D21" t="n">
        <v>10</v>
      </c>
    </row>
    <row r="22">
      <c r="A22" t="n">
        <v>623</v>
      </c>
      <c r="B22" t="n">
        <v>0.08833333333333333</v>
      </c>
      <c r="C22" t="n">
        <v>2.7e+21</v>
      </c>
      <c r="D22" t="n">
        <v>23</v>
      </c>
    </row>
    <row r="23">
      <c r="A23" t="n">
        <v>573</v>
      </c>
      <c r="B23" t="n">
        <v>0.06333333333333332</v>
      </c>
      <c r="C23" t="n">
        <v>1.2e+22</v>
      </c>
      <c r="D23" t="n">
        <v>9</v>
      </c>
    </row>
    <row r="25">
      <c r="A25" t="n">
        <v>573</v>
      </c>
      <c r="B25" t="n">
        <v>0.2</v>
      </c>
      <c r="C25" t="n">
        <v>1.200000000000008e+22</v>
      </c>
    </row>
    <row r="26">
      <c r="A26" t="n">
        <v>623</v>
      </c>
      <c r="B26" t="n">
        <v>0.2</v>
      </c>
      <c r="C26" t="n">
        <v>2.400000000000009e+21</v>
      </c>
    </row>
    <row r="27">
      <c r="A27" t="n">
        <v>673</v>
      </c>
      <c r="B27" t="n">
        <v>0.2</v>
      </c>
      <c r="C27" t="n">
        <v>2.000000000000005e+20</v>
      </c>
    </row>
    <row r="29">
      <c r="A29" t="n">
        <v>478</v>
      </c>
      <c r="B29" t="n">
        <v>2</v>
      </c>
      <c r="C29" t="n">
        <v>6.000000000000015e+22</v>
      </c>
    </row>
    <row r="30">
      <c r="A30" t="n">
        <v>523</v>
      </c>
      <c r="B30" t="n">
        <v>2</v>
      </c>
      <c r="C30" t="n">
        <v>3.200000000000024e+22</v>
      </c>
    </row>
    <row r="31">
      <c r="A31" t="n">
        <v>573</v>
      </c>
      <c r="B31" t="n">
        <v>2</v>
      </c>
      <c r="C31" t="n">
        <v>1.800000000000005e+22</v>
      </c>
    </row>
    <row r="32">
      <c r="A32" t="n">
        <v>623</v>
      </c>
      <c r="B32" t="n">
        <v>2</v>
      </c>
      <c r="C32" t="n">
        <v>4.600000000000012e+21</v>
      </c>
    </row>
    <row r="33">
      <c r="A33" t="n">
        <v>673</v>
      </c>
      <c r="B33" t="n">
        <v>2</v>
      </c>
      <c r="C33" t="n">
        <v>1.400000000000006e+21</v>
      </c>
    </row>
    <row r="34">
      <c r="A34" t="n">
        <v>723</v>
      </c>
      <c r="B34" t="n">
        <v>2</v>
      </c>
      <c r="C34" t="n">
        <v>1.800000000000013e+20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2025-09-09T23:14:52Z</dcterms:created>
  <dcterms:modified xsi:type="dcterms:W3CDTF">2026-09-04T18:56:08Z</dcterms:modified>
  <cp:lastModifiedBy>Escobar, Ruben</cp:lastModifiedBy>
</cp:coreProperties>
</file>